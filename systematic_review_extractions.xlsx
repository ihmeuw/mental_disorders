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jshadid1\Dropbox\GBD Shared Folder\Jamilehs PhD\6. Publications\1. Paper 1_Epidemiology\TheLancetPsychiatry\Revision 2\For_github\"/>
    </mc:Choice>
  </mc:AlternateContent>
  <xr:revisionPtr revIDLastSave="0" documentId="13_ncr:1_{984D1D8C-A59A-433A-89DC-3AE57F71153C}" xr6:coauthVersionLast="47" xr6:coauthVersionMax="47" xr10:uidLastSave="{00000000-0000-0000-0000-000000000000}"/>
  <bookViews>
    <workbookView xWindow="-108" yWindow="-108" windowWidth="23256" windowHeight="13896" xr2:uid="{00000000-000D-0000-FFFF-FFFF00000000}"/>
  </bookViews>
  <sheets>
    <sheet name="extraction" sheetId="1" r:id="rId1"/>
  </sheets>
  <definedNames>
    <definedName name="_xlnm._FilterDatabase" localSheetId="0" hidden="1">extraction!$B$1:$B$199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6" i="1" l="1"/>
  <c r="K50" i="1"/>
  <c r="K49" i="1"/>
  <c r="K48" i="1"/>
  <c r="K23" i="1"/>
  <c r="K189" i="1"/>
  <c r="K188" i="1"/>
  <c r="K181" i="1"/>
  <c r="K180" i="1"/>
  <c r="K179" i="1"/>
  <c r="K178" i="1"/>
  <c r="K177" i="1"/>
  <c r="K176" i="1"/>
  <c r="K174" i="1"/>
  <c r="K173" i="1"/>
  <c r="K172" i="1"/>
  <c r="K97" i="1"/>
  <c r="K96" i="1"/>
  <c r="K93" i="1"/>
  <c r="K92" i="1"/>
  <c r="K80" i="1"/>
  <c r="K79" i="1"/>
  <c r="K78" i="1"/>
  <c r="K77" i="1"/>
  <c r="K9" i="1"/>
  <c r="K8" i="1"/>
  <c r="K144" i="1"/>
  <c r="K143" i="1"/>
  <c r="K4" i="1"/>
  <c r="K165" i="1"/>
  <c r="K163" i="1"/>
  <c r="K164" i="1"/>
  <c r="K139" i="1"/>
  <c r="K138" i="1"/>
  <c r="K137" i="1"/>
</calcChain>
</file>

<file path=xl/sharedStrings.xml><?xml version="1.0" encoding="utf-8"?>
<sst xmlns="http://schemas.openxmlformats.org/spreadsheetml/2006/main" count="3544" uniqueCount="415">
  <si>
    <t>field_citation_value</t>
  </si>
  <si>
    <t>page_num</t>
  </si>
  <si>
    <t>table_num</t>
  </si>
  <si>
    <t>source_type</t>
  </si>
  <si>
    <t>location_name</t>
  </si>
  <si>
    <t>smaller_site_unit</t>
  </si>
  <si>
    <t>site_memo</t>
  </si>
  <si>
    <t>sex</t>
  </si>
  <si>
    <t>year_start</t>
  </si>
  <si>
    <t>year_end</t>
  </si>
  <si>
    <t>age_start</t>
  </si>
  <si>
    <t>age_end</t>
  </si>
  <si>
    <t>measure</t>
  </si>
  <si>
    <t>mean</t>
  </si>
  <si>
    <t>lower</t>
  </si>
  <si>
    <t>upper</t>
  </si>
  <si>
    <t>standard_error</t>
  </si>
  <si>
    <t>cases</t>
  </si>
  <si>
    <t>sample_size</t>
  </si>
  <si>
    <t>unit_type</t>
  </si>
  <si>
    <t>unit_value_as_published</t>
  </si>
  <si>
    <t>measure_issue</t>
  </si>
  <si>
    <t>measure_adjustment</t>
  </si>
  <si>
    <t>uncertainty_type_value</t>
  </si>
  <si>
    <t>representative_name</t>
  </si>
  <si>
    <t>urbanicity_type</t>
  </si>
  <si>
    <t>sampling_type</t>
  </si>
  <si>
    <t>response_rate</t>
  </si>
  <si>
    <t>case_name</t>
  </si>
  <si>
    <t>case_definition</t>
  </si>
  <si>
    <t>case_diagnostics</t>
  </si>
  <si>
    <t>specificity</t>
  </si>
  <si>
    <t>Tool_administrator</t>
  </si>
  <si>
    <t>Sampling_strategy</t>
  </si>
  <si>
    <t>cv_icd</t>
  </si>
  <si>
    <t>cv_single_pd</t>
  </si>
  <si>
    <t>cv_antisocial_only</t>
  </si>
  <si>
    <t>cv_borderline_only</t>
  </si>
  <si>
    <t>cv_inpatient</t>
  </si>
  <si>
    <t>cv_outpatient</t>
  </si>
  <si>
    <t>cv_in_outpatient</t>
  </si>
  <si>
    <t>cv_2_stage</t>
  </si>
  <si>
    <t>cv_wmhs</t>
  </si>
  <si>
    <t>cv_aspd_lay</t>
  </si>
  <si>
    <t>cv_bpd_lay</t>
  </si>
  <si>
    <t>cv_pd_lay</t>
  </si>
  <si>
    <t>cv_aspd_nonclin</t>
  </si>
  <si>
    <t>cv_bpd_nonclin</t>
  </si>
  <si>
    <t>cv_pd_nonclin</t>
  </si>
  <si>
    <t>Huang Y, Kotov R, de Girolamo G, Preti A, Angermeyer M, Benjet C, Demyttenaere K, de Graaf R, Gureje O, Karam AN, Lee S, Lépine JP, Matschinger H, Posada-Villa J, Suliman S, Vilagut G, Kessler RC. DSM-IV personality disorders in the WHO World Mental Health Surveys. &lt;i&gt;Br J Psychiatry&lt;/i&gt;. 2009; 195(1): 46-53.</t>
  </si>
  <si>
    <t>Coid J, Yang M, Tyrer P, Roberts A, Ullrich S. Prevalence and correlates of personality disorder in Great Britain. &lt;i&gt;Br J Psychiatry&lt;/i&gt;. 2006; 188: 423-31.</t>
  </si>
  <si>
    <t>Quirk SE, Berk M, Pasco JA, Brennan-Olsen SL, Chanen AM, Koivumaa-Honkanen H, Burke LM, Jackson HJ, Hulbert C, A Olsson C, Moran P, Stuart AL, Williams LJ. The prevalence, age distribution and comorbidity of personality disorders in Australian women. &lt;i&gt;Aust N Z J Psychiatry&lt;/i&gt;. 2017; 51(2): 141-150.</t>
  </si>
  <si>
    <t>Copeland WE, Wolke D, Angold A, Costello EJ. Adult psychiatric outcomes of bullying and being bullied by peers in childhood and adolescence. &lt;i&gt;JAMA Psychiatry&lt;/i&gt;. 2013; 70(4): 419-26.</t>
  </si>
  <si>
    <t>Samuels JF, Nestadt G, Romanoski AJ, Folstein MF, McHugh PR. DSM-III personality disorders in the community. &lt;i&gt;Am J Psychiatry&lt;/i&gt;. 1994; 151(7): 1055-62.</t>
  </si>
  <si>
    <t>Kantojärvi L, Veijola J, Läksy K, Jokelainen J, Herva A, Karvonen JT, Kokkonen P, Järvelin MR, Joukamaa M. Co-occurrence of personality disorders with mood, anxiety, and substance use disorders in a young adult population. &lt;i&gt;J Pers Disord&lt;/i&gt;. 2006; 20(1): 102-12.</t>
  </si>
  <si>
    <t>Moran P, Coffey C, Mann A, Carlin JB, Patton GC. Personality and substance use disorders in young adults. &lt;i&gt;Br J Psychiatry&lt;/i&gt;. 2006; 188: 374-9.</t>
  </si>
  <si>
    <t>Torgersen S, Kringlen E, Cramer V. The prevalence of personality disorders in a community sample. &lt;i&gt;Arch Gen Psychiatry&lt;/i&gt;. 2001; 58(6): 590-6.</t>
  </si>
  <si>
    <t>Hinterhuber, H, &amp; Hinterhuber, I S. [Epidemiology of mental disorders in a rural population]. &lt;i&gt;Arch Psicol Neurol Psichiatr&lt;/i&gt;. 1985; 46(3-4): 412-427.</t>
  </si>
  <si>
    <t>Swanson MC, Bland RC, Newman SC. Epidemiology of psychiatric disorders in Edmonton. Antisocial personality disorders. &lt;i&gt;Acta Psychiatr Scand Suppl&lt;/i&gt;. 1994; 376: 63-70.</t>
  </si>
  <si>
    <t>Newman DL, Moffitt TE, Caspi A, Magdol L, Silva PA, Stanton WR. Psychiatric disorder in a birth cohort of young adults: prevalence, comorbidity, clinical significance, and new case incidence from ages 11 to 21. &lt;i&gt;J Consult Clin Psychol&lt;/i&gt;. 1996; 64(3): 552-62.</t>
  </si>
  <si>
    <t>Maier W, Lichtermann D, Klingler T, Heun R, Hallmayer J. Prevalences of personality disorders (DSM-III-R) in the community. &lt;i&gt;J Pers Disord&lt;/i&gt;. 1992; 6(3): 187-196.</t>
  </si>
  <si>
    <t>Kelleher I, Ramsay H, DeVylder J. Psychotic experiences and suicide attempt risk in common mental disorders and borderline personality disorder. &lt;i&gt;Acta Psychiatr Scand&lt;/i&gt;. 2017; 135(3): 212-218.</t>
  </si>
  <si>
    <t>Aalto-Setälä T, Marttunen M, Tuulio-Henriksson A, Poikolainen K, Lönnqvist J. One-month prevalence of depression and other DSM-IV disorders among young adults. &lt;i&gt;Psychol Med&lt;/i&gt;. 2001; 31(05): 791-801.</t>
  </si>
  <si>
    <t>Daley SE, Hammen C, Burge D, Davila J, Paley B, Lindberg N, Herzberg DS. Depression and Axis II symptomatology in an adolescent community sample: concurrent and longitudinal associations. &lt;i&gt;J Pers Disord&lt;/i&gt;. 1999; 13(1): 47-59.</t>
  </si>
  <si>
    <t>Harley ME, Connor D, Clarke MC, Kelleher I, Coughlan H, Lynch F, Fitzpatrick C, Cannon M. Prevalence of Mental Disorder among young adults in Ireland: a population based study. &lt;i&gt;Ir J Psychol Med&lt;/i&gt;. 2015; 32(1): 79–91.</t>
  </si>
  <si>
    <t>Jackson HJ, Burgess PM. Personality disorders in the community: a report from the Australian National Survey of Mental Health and Wellbeing. &lt;i&gt;Soc Psychiatry Psychiatr Epidemiol&lt;/i&gt;. 2000; 35(12): 531-8.</t>
  </si>
  <si>
    <t>Barnow S, Stopsack M, Ulrich I, Falz S, Dudeck M, Spitzer C, Grabe HJ, Freyberger HJ. [Prevalence and familiarity of personality disorders in Germany: results of the Greifswald family study]. &lt;i&gt;Psychother Psychosom Med Psychol&lt;/i&gt;. 2010; 60(9-10): 334-41.</t>
  </si>
  <si>
    <t>Regier DA, Boyd JH, Burke JD Jr, Rae DS, Myers JK, Kramer M, Robins LN, George LK, Karno M, Locke BZ. One-month prevalence of mental disorders in the United States. Based on five Epidemiologic Catchment Area sites. &lt;i&gt;Arch Gen Psychiatry&lt;/i&gt;. 1988; 45(11): 977-86.</t>
  </si>
  <si>
    <t>Sachs-Ericsson N, Ciarlo JA. Gender, social roles, and mental health: An epidemiological perspective. &lt;i&gt;Sex Roles&lt;/i&gt;. 2000; 43(9-10): 605-28.</t>
  </si>
  <si>
    <t>Arens EA, Stopsack M, Spitzer C, Appel K, Dudeck M, Völzke H, Grabe HJ, Barnow S. Borderline personality disorder in four different age groups: a cross-sectional study of community residents in Germany. &lt;i&gt;J Pers Disord&lt;/i&gt;. 2013; 27(2): 196-207.</t>
  </si>
  <si>
    <t>Ferdinand RF, van der Reijden M, Verhulst FC, Nienhuis J, Giel R. Assessment of the prevalence of psychiatric disorder in young adults. &lt;i&gt;Br J Psychiatry&lt;/i&gt;. 1995; 166(4): 480-8.</t>
  </si>
  <si>
    <t>Crawford TN, Cohen P, Johnson JG, Kasen S, First MB, Gordon K, Brook JS. Self-reported personality disorder in the children in the community sample: convergent and prospective validity in late adolescence and adulthood. &lt;i&gt;J Pers Disord&lt;/i&gt;. 2005; 19(1): 30-52.</t>
  </si>
  <si>
    <t>Swartz M, Blazer D, George L, Winfield I. Estimating the prevalence of borderline personality disorder in the community. &lt;i&gt;J Pers Disord&lt;/i&gt;. 1990; 4(3): 257-272.</t>
  </si>
  <si>
    <t>Oltmanns TF, Rodrigues MM, Weinstein Y, Gleason ME. Prevalence of Personality Disorders at Midlife in a Community Sample: Disorders and Symptoms Reflected in Interview, Self, and Informant Reports. &lt;i&gt;J Psychopathol Behav Assess&lt;/i&gt;. 2014; 36(2): 177-188.</t>
  </si>
  <si>
    <t>Samuels J, Eaton WW, Bienvenu OJ 3rd, Brown CH, Costa PT Jr, Nestadt G. Prevalence and correlates of personality disorders in a community sample. &lt;i&gt;Br J Psychiatry&lt;/i&gt;. 2002; 180: 536-42.</t>
  </si>
  <si>
    <t>Oakley-Browne MA JP, Wells JE, Bushnell JA, Hornblow AR. Christchurch Psychiatric Epidemiology Study, Part II: Six month and other period prevalences of specific psychiatric disorders. &lt;i&gt;Aust N Z J Psychiatry&lt;/i&gt;. 1989; 23(3): 327-40.</t>
  </si>
  <si>
    <t>Cheng HG, Huang Y, Liu Z, Liu B. Associations linking parenting styles and offspring personality disorder are moderated by parental personality disorder, evidence from China. &lt;i&gt;Psychiatry Res&lt;/i&gt;. 2011; 189(1): 105-9.</t>
  </si>
  <si>
    <t>Vicente B, Kohn R, Rioseco P, Saldivia S, Baker C, Torres S. Population prevalence of psychiatric disorders in Chile: 6-month and 1-month rates. &lt;i&gt;Br J Psychiatry&lt;/i&gt;. 2004; 184(4): 299-305.</t>
  </si>
  <si>
    <t>National Institute on Alcohol Abuse and Alcoholism (NIAAA), National Institutes of Health (NIH), U.S. Department of Health and Human Services. United States National Epidemiologic Survey on Alcohol and Related Conditions 2004-2005.</t>
  </si>
  <si>
    <t>Ajetunmobi O, Taylor M, Stockton D, Wood R. Early death in those previously hospitalised for mental healthcare in Scotland: a nationwide cohort study, 1986-2010. &lt;i&gt;BMJ Open&lt;/i&gt;. 2013; 3(7): e002768.</t>
  </si>
  <si>
    <t>Björkenstam C, Björkenstam E, Gerdin B, Ekselius L. Excess cause-specific mortality in out-patients with personality disorder. &lt;i&gt;Br J Psychiatr Open&lt;/i&gt;. 2015; 1(1): 54-55.</t>
  </si>
  <si>
    <t>Björkenstam E, Björkenstam C, Holm H, Gerdin B, Ekselius L. Excess cause-specific mortality in in-patient-treated individuals with personality disorder: 25-year nationwide population-based study. &lt;i&gt;Br J Psychiatry&lt;/i&gt;. 2015; 207(4): 339-45.</t>
  </si>
  <si>
    <t>Fok ML, Hayes RD, Chang CK, Stewart R, Callard FJ, Moran P. Life expectancy at birth and all-cause mortality among people with personality disorder. &lt;i&gt;J Psychosom Res&lt;/i&gt;. 2012; 73(2): 104-7.</t>
  </si>
  <si>
    <t>Gale CR, Batty GD, Osborn DP, Tynelius P, Whitley E, Rasmussen F. Association of mental disorders in early adulthood and later psychiatric hospital admissions and mortality in a cohort study of more than 1 million men. &lt;i&gt;Arch Gen Psychiatry&lt;/i&gt;. 2012; 69(8): 823–31.</t>
  </si>
  <si>
    <t>Høye A, Jacobsen BK, Hansen V. Sex differences in mortality of admitted patients with personality disorders in North Norway-a prospective register study. &lt;i&gt;BMC Psychiatry&lt;/i&gt;. 2013; 13: 317.</t>
  </si>
  <si>
    <t>Nordentoft M, Wahlbeck K, Hällgren J, Westman J, Osby U, Alinaghizadeh H, Gissler M, Laursen TM. Excess mortality, causes of death and life expectancy in 270,770 patients with recent onset of mental disorders in Denmark, Finland and Sweden. &lt;i&gt;PLoS One&lt;/i&gt;. 2013; 8(1): e55176.</t>
  </si>
  <si>
    <t>Kjelsberg E. Adolescent psychiatric in-patients. A high-risk group for premature death. &lt;i&gt;Br J Psychiatry&lt;/i&gt;. 2000; 176(2): 121-5.</t>
  </si>
  <si>
    <t>Plana-Ripoll O, Pedersen CB, Agerbo E, Holtz Y, Erlangsen A, Canudas-Romo V, Andersen PK, Charlson FJ, Christensen MK, Erskine HE, Ferrari AJ, Iburg KM, Momen N, Mortensen PB, Nordentoft M, Santomauro DF, Scott JG, Whiteford HA, Weye N, McGrath JJ, Laursen TM. A comprehensive analysis of mortality-related health metrics associated with mental disorders: a nationwide, register-based cohort study. &lt;i&gt;Lancet&lt;/i&gt;. 2019; 394(10211): 1827-1835.</t>
  </si>
  <si>
    <t>Lawrence D, Jablensky AV, Holman CD, Pinder TJ. Mortality in Western Australian psychiatric patients. &lt;i&gt;Soc Psychiatry Psychiatr Epidemiol&lt;/i&gt;. 2000; 35(8): 341-7.</t>
  </si>
  <si>
    <t>Politi P, Piccinelli M, Klersy C, Madini S, Segagni LG, Fratti C, Barale F. Mortality in psychiatric patients 5 to 21 years after hospital admission in Italy. &lt;i&gt;Psychol Med&lt;/i&gt;. 2002; 32(2): 227-37.</t>
  </si>
  <si>
    <t>James A, Clacey J, Seagroatt V, Goldacre M. Adolescent inpatient psychiatric admission rates and subsequent one-year mortality in England: 1998-2004. &lt;i&gt;J Child Psychol Psychiatry&lt;/i&gt;. 2010; 51(12): 1395-404.</t>
  </si>
  <si>
    <t>Park S, Kim SY, Hong JP. Cause-specific mortality of psychiatric inpatients and outpatients in a general hospital in Korea. &lt;i&gt;Asia Pac J Public Health&lt;/i&gt;. 2015; 27(2): 164–75.</t>
  </si>
  <si>
    <t>Baxter DN. The mortality experience of individuals on the Salford Psychiatric Case Register. I. All-cause mortality. &lt;i&gt;Br J Psychiatry&lt;/i&gt;. 1996; 168(6): 772-9.</t>
  </si>
  <si>
    <t>Black DW, Warrack G, Winokur G. The Iowa record-linkage study. III. Excess mortality among patients with 'functional' disorders. &lt;i&gt;Arch Gen Psychiatry&lt;/i&gt;. 1985; 42(1): 82-8.</t>
  </si>
  <si>
    <t>Das-Munshi J, Chang CK, Bakolis I, Broadbent M, Dregan A, Hotopf M, Morgan C, Stewart R. All-cause and cause-specific mortality in people with mental disorders and intellectual disabilities, before and during the COVID-19 pandemic: cohort study. &lt;i&gt;Lancet Reg Health Eur&lt;/i&gt;. 2021; 11: 100228.</t>
  </si>
  <si>
    <t>Girardi P, Schievano E, Fedeli U, Braggion M, Nuti M, Amaddeo F. Causes of mortality in a large population-based cohort of psychiatric patients in Southern Europe. &lt;i&gt;J Psychiatr Res&lt;/i&gt;. 2021; 136: 167-172.</t>
  </si>
  <si>
    <t>Kiejna A, Janus J, Cichoń E, Paciorek S, Zięba M, Gondek TM. Mortality in people with mental disorders in Poland: A nationwide, register-based cohort study. &lt;i&gt;Eur Psychiatry&lt;/i&gt;. 2022; 66(1): e2.</t>
  </si>
  <si>
    <t>Krupchanka D, Mladá K, Winkler P, Khazaal Y, Albanese E. Mortality in people with mental disorders in the Czech Republic: a nationwide, register-based cohort study. &lt;i&gt;Lancet Public Health&lt;/i&gt;. 2018; 3(6): e289-e295.</t>
  </si>
  <si>
    <t>Zilber N, Schufman N, Lerner Y. Mortality among psychiatric patients--the groups at risk. &lt;i&gt;Acta Psychiatr Scand&lt;/i&gt;. 1989; 79(3): 248-56.</t>
  </si>
  <si>
    <t>Kisely S, Smith M, Lawrence D, Maaten S. Mortality in individuals who have had psychiatric treatment: population-based study in Nova Scotia. &lt;i&gt;Br J Psychiatry&lt;/i&gt;. 2005; 187: 552-8.</t>
  </si>
  <si>
    <t>Bukh JD, Bech P, Kessing LV. Diagnostic Stability of Comorbid Personality Disorders Among Patients Fully or Partially Remitted From First-Episode Depression: A 5-Year Follow-Up Study. &lt;i&gt;J Pers Disord&lt;/i&gt;. 2017; 31(2): 208-220.</t>
  </si>
  <si>
    <t>Lopez-Castroman J, Galfalvy H, Currier D, Stanley B, Blasco-Fontecilla H, Baca-Garcia E, Harkavy-Friedman JM, Mann JJ, Oquendo MA. Personality disorder assessments in acute depressive episodes: stability at follow-up. &lt;i&gt;J Nerv Ment Dis&lt;/i&gt;. 2012; 200(6): 526-30.</t>
  </si>
  <si>
    <t>3</t>
  </si>
  <si>
    <t>5</t>
  </si>
  <si>
    <t>4</t>
  </si>
  <si>
    <t>421</t>
  </si>
  <si>
    <t>1057</t>
  </si>
  <si>
    <t>106</t>
  </si>
  <si>
    <t>375</t>
  </si>
  <si>
    <t>419</t>
  </si>
  <si>
    <t>65</t>
  </si>
  <si>
    <t>556</t>
  </si>
  <si>
    <t>190</t>
  </si>
  <si>
    <t>215</t>
  </si>
  <si>
    <t>6</t>
  </si>
  <si>
    <t>796</t>
  </si>
  <si>
    <t>52</t>
  </si>
  <si>
    <t>8</t>
  </si>
  <si>
    <t>533</t>
  </si>
  <si>
    <t>338</t>
  </si>
  <si>
    <t>979</t>
  </si>
  <si>
    <t>614</t>
  </si>
  <si>
    <t>200</t>
  </si>
  <si>
    <t>485</t>
  </si>
  <si>
    <t>43</t>
  </si>
  <si>
    <t>261</t>
  </si>
  <si>
    <t>2</t>
  </si>
  <si>
    <t>538</t>
  </si>
  <si>
    <t>329</t>
  </si>
  <si>
    <t>7</t>
  </si>
  <si>
    <t>1</t>
  </si>
  <si>
    <t>19</t>
  </si>
  <si>
    <t>Supp 31</t>
  </si>
  <si>
    <t>in-text</t>
  </si>
  <si>
    <t>microdata</t>
  </si>
  <si>
    <t>A3</t>
  </si>
  <si>
    <t>Supplementary table 1</t>
  </si>
  <si>
    <t>Survey - cross-sectional</t>
  </si>
  <si>
    <t>Survey - longitudinal</t>
  </si>
  <si>
    <t>Survey - cohort</t>
  </si>
  <si>
    <t>Registry - other/unknown</t>
  </si>
  <si>
    <t>Facility - other/unknown</t>
  </si>
  <si>
    <t>United States of America</t>
  </si>
  <si>
    <t>United Kingdom</t>
  </si>
  <si>
    <t>Australia</t>
  </si>
  <si>
    <t>North Carolina</t>
  </si>
  <si>
    <t>New York</t>
  </si>
  <si>
    <t>Chile</t>
  </si>
  <si>
    <t>Maryland</t>
  </si>
  <si>
    <t>Canada</t>
  </si>
  <si>
    <t>England</t>
  </si>
  <si>
    <t>Finland</t>
  </si>
  <si>
    <t>Netherlands</t>
  </si>
  <si>
    <t>Spain</t>
  </si>
  <si>
    <t>Oslo</t>
  </si>
  <si>
    <t>Missouri</t>
  </si>
  <si>
    <t>Provincia autonoma di Bolzano</t>
  </si>
  <si>
    <t>Greater London</t>
  </si>
  <si>
    <t>New Zealand</t>
  </si>
  <si>
    <t>Germany</t>
  </si>
  <si>
    <t>Iowa</t>
  </si>
  <si>
    <t>Sweden</t>
  </si>
  <si>
    <t>California</t>
  </si>
  <si>
    <t>Connecticut</t>
  </si>
  <si>
    <t>Colorado</t>
  </si>
  <si>
    <t>Beijing</t>
  </si>
  <si>
    <t>Republic of Korea</t>
  </si>
  <si>
    <t>Norway</t>
  </si>
  <si>
    <t>Israel</t>
  </si>
  <si>
    <t>Denmark</t>
  </si>
  <si>
    <t>Lombardia</t>
  </si>
  <si>
    <t>Veneto</t>
  </si>
  <si>
    <t>Poland</t>
  </si>
  <si>
    <t>Czechia</t>
  </si>
  <si>
    <t>Colombia</t>
  </si>
  <si>
    <t>Lebanon</t>
  </si>
  <si>
    <t>Mexico</t>
  </si>
  <si>
    <t>Nigeria</t>
  </si>
  <si>
    <t>China</t>
  </si>
  <si>
    <t>South Africa</t>
  </si>
  <si>
    <t>Scotland</t>
  </si>
  <si>
    <t>Nationally representative</t>
  </si>
  <si>
    <t>England, Scotland and Wales</t>
  </si>
  <si>
    <t>Barwon Statistical Division located in southeastern Australia</t>
  </si>
  <si>
    <t>All counties in Western North Carolina</t>
  </si>
  <si>
    <t>Two upstate New York counties</t>
  </si>
  <si>
    <t>Eastern Baltimore</t>
  </si>
  <si>
    <t>City of Oulu</t>
  </si>
  <si>
    <t>School sample followed to adulthood. Victoria, Australia</t>
  </si>
  <si>
    <t>St. Louis, Missouri metropolitan area (city and suburbs)</t>
  </si>
  <si>
    <t>Province of Bolzano/South Tyrol</t>
  </si>
  <si>
    <t>Edmonton, Alberta</t>
  </si>
  <si>
    <t>Dunedin</t>
  </si>
  <si>
    <t>Rhein-Main area around Mainz, Frankfurt, Germany</t>
  </si>
  <si>
    <t>5-year follow-up of school survey sample;  five urban high-schools in Helsinki &amp; Jyvaskyla located in Southern and Central Finland.</t>
  </si>
  <si>
    <t xml:space="preserve">Student survey; Los Angeles California. Three local public high schools chosen to be representative of Los Angeles county schools. </t>
  </si>
  <si>
    <t>Follow-up of a school sample in North Dublin, Ireland</t>
  </si>
  <si>
    <t>Mecklenburg, Western Pomerania</t>
  </si>
  <si>
    <t>New Haven</t>
  </si>
  <si>
    <t>Pidemont/Durham</t>
  </si>
  <si>
    <t>Los Angeles</t>
  </si>
  <si>
    <t>general adult population</t>
  </si>
  <si>
    <t>Northeastern Germany; 3 cities and 29 communities</t>
  </si>
  <si>
    <t>25 highschools in Beijing, China</t>
  </si>
  <si>
    <t>Province of Zuid</t>
  </si>
  <si>
    <t>Seoul</t>
  </si>
  <si>
    <t>Christchurch</t>
  </si>
  <si>
    <t xml:space="preserve"> Santiago, Concepción, Iquique and Cautín</t>
  </si>
  <si>
    <t>United States including the district of Columbia, Alaska, and Hawaii.</t>
  </si>
  <si>
    <t>4 London Boroughs (Lambeth, Southwark, Lewisham and Croydon)</t>
  </si>
  <si>
    <t>Troms and Finnmark</t>
  </si>
  <si>
    <t>Assumed nationally representative; onlyinpatient facility for adolescent psychiatric patients</t>
  </si>
  <si>
    <t>Western Australia</t>
  </si>
  <si>
    <t>Pavia, Northwestern Italy; in-patient psychiatric unit</t>
  </si>
  <si>
    <t>Covered all NHS hospital admissions in England</t>
  </si>
  <si>
    <t>Salford</t>
  </si>
  <si>
    <t>University of Iowa Psychiatric Hospital</t>
  </si>
  <si>
    <t>Southeast London</t>
  </si>
  <si>
    <t>Veneto region in North-Eastern Italy</t>
  </si>
  <si>
    <t>Czech Republic</t>
  </si>
  <si>
    <t>Jewish people in Israel . In 1975 84.7% of the population in Isreal were Jewish. https://www.jewishvirtuallibrary.org/jewish-and-non-jewish-population-of-israel-palestine-1517-present</t>
  </si>
  <si>
    <t>Nova Scotia</t>
  </si>
  <si>
    <t>Nationally representative; concription sample</t>
  </si>
  <si>
    <t>eastern Denmark (Sealand [Sjælland]</t>
  </si>
  <si>
    <t>one research clinic, unclear which clinic or where the location is</t>
  </si>
  <si>
    <t>Urban areas of the country (73% of the total population)</t>
  </si>
  <si>
    <t>Urban areas of the country (75% of the total national population)</t>
  </si>
  <si>
    <t>21 of 36 states in the country representing 57% if the national population</t>
  </si>
  <si>
    <t>Beijing and Shanghai metropolitna areas</t>
  </si>
  <si>
    <t>Both</t>
  </si>
  <si>
    <t>Male</t>
  </si>
  <si>
    <t>Female</t>
  </si>
  <si>
    <t>prevalence</t>
  </si>
  <si>
    <t>mtstandard</t>
  </si>
  <si>
    <t>relrisk</t>
  </si>
  <si>
    <t>remission</t>
  </si>
  <si>
    <t>Person</t>
  </si>
  <si>
    <t>Person*year</t>
  </si>
  <si>
    <t>Nationally representative only</t>
  </si>
  <si>
    <t>Representative for subnational location only</t>
  </si>
  <si>
    <t>Mixed/both</t>
  </si>
  <si>
    <t>Urban</t>
  </si>
  <si>
    <t>Rural</t>
  </si>
  <si>
    <t>Probability</t>
  </si>
  <si>
    <t>Multistage</t>
  </si>
  <si>
    <t>Cluster</t>
  </si>
  <si>
    <t>Nonprobability</t>
  </si>
  <si>
    <t>Any personality disorder</t>
  </si>
  <si>
    <t>Antisocial</t>
  </si>
  <si>
    <t>Borderline</t>
  </si>
  <si>
    <t>any personality disorder</t>
  </si>
  <si>
    <t>Antisocial personality</t>
  </si>
  <si>
    <t>Dissocial</t>
  </si>
  <si>
    <t>Borderline personality disorder</t>
  </si>
  <si>
    <t>Any personality disorder (definite)</t>
  </si>
  <si>
    <t>Antisocial (definite)</t>
  </si>
  <si>
    <t>Borderline (definite)</t>
  </si>
  <si>
    <t>antisocial personality</t>
  </si>
  <si>
    <t>Antisocial personality disorder</t>
  </si>
  <si>
    <t>at least one PD (definite)</t>
  </si>
  <si>
    <t>antisocial (definite)</t>
  </si>
  <si>
    <t>Personality disorder</t>
  </si>
  <si>
    <t>Personality disorders</t>
  </si>
  <si>
    <t>Personality disorders with PD NOS</t>
  </si>
  <si>
    <t>antisocial</t>
  </si>
  <si>
    <t>Disturbi della personalita</t>
  </si>
  <si>
    <t>Any PD</t>
  </si>
  <si>
    <t>antisocial personality disorder</t>
  </si>
  <si>
    <t>Antisocial personality disorder - informant corroborated</t>
  </si>
  <si>
    <t>formal BPD</t>
  </si>
  <si>
    <t>Total score</t>
  </si>
  <si>
    <t>Axis II disorder</t>
  </si>
  <si>
    <t>Personalidad antisocial</t>
  </si>
  <si>
    <t>F600 - F609</t>
  </si>
  <si>
    <t>All (F600 - F609)</t>
  </si>
  <si>
    <t>Personality disorder (F60 and F61)</t>
  </si>
  <si>
    <t>Personality disorders (ICD-8/9: 301, ICD-10: F60-F69)</t>
  </si>
  <si>
    <t>Personality disorders (ICD-9: 301.0-301.9, ICD-10: F60-F69)</t>
  </si>
  <si>
    <t>Personality disorders (ICD-10: F60–F69, ICD-9: 301A, 301D, 301E, 301F, 301G, 301H,301J, 301W, 301X, 312, and ICD-8: 300.19, 301.49, 301.59, 301.69, 301.79, 301.80, 301,81, 301.82, 301.83, 301,84 (DSM IV: 301.0–301.9))</t>
  </si>
  <si>
    <t>Personality disorders (ICD-10: F60, ICD-8: 301.x9 (excluding 301.19), 301.80, 301.81, 301.82, 301.84)</t>
  </si>
  <si>
    <t>Personality disorders (301.x)</t>
  </si>
  <si>
    <t>Disorders of adult personality and behaviour (F61 - F69)</t>
  </si>
  <si>
    <t>Personality disorders (F60 - F69)</t>
  </si>
  <si>
    <t>Personality or sexual disorders (301 and 302)</t>
  </si>
  <si>
    <t>Personality disorders (F6*)</t>
  </si>
  <si>
    <t>personality disorders (301, 302, 312)</t>
  </si>
  <si>
    <t>Disorders of adult personality and behavior (F60 - F69)</t>
  </si>
  <si>
    <t>Personality disorders (301)</t>
  </si>
  <si>
    <t>One or more of any kind</t>
  </si>
  <si>
    <t>Axis II diagnosis</t>
  </si>
  <si>
    <t>DSM-IV; IPDE (imputed)</t>
  </si>
  <si>
    <t>DSM-IV; SCID-II</t>
  </si>
  <si>
    <t>DSM-IV; YAPA</t>
  </si>
  <si>
    <t>ICD-10; IPDE screener (criterion scoring)</t>
  </si>
  <si>
    <t>DSM-IV; AUDADIS-IV</t>
  </si>
  <si>
    <t>DSM-III; Clinical dx</t>
  </si>
  <si>
    <t>DSM-III-R; SCID-II</t>
  </si>
  <si>
    <t>DSM-IV; SAP</t>
  </si>
  <si>
    <t>DSM-III-R; SIDP-R</t>
  </si>
  <si>
    <t>DSM-IV; SIDP</t>
  </si>
  <si>
    <t>ICD-9; Diagnostic interview</t>
  </si>
  <si>
    <t>DSM-III; DIS</t>
  </si>
  <si>
    <t>DSM-III; Modified DIS</t>
  </si>
  <si>
    <t xml:space="preserve">DSM-IV; SCAN 2.0 &amp; LEAD </t>
  </si>
  <si>
    <t>DSM-IV; SKID-II</t>
  </si>
  <si>
    <t>DSM-III-R; DIS</t>
  </si>
  <si>
    <t>ICD-10; IPDE</t>
  </si>
  <si>
    <t>DIS/Boderline Index; &gt;=11</t>
  </si>
  <si>
    <t>DSM-IV; IPDE</t>
  </si>
  <si>
    <t>ICD; Clinical diagnosis</t>
  </si>
  <si>
    <t>ICD-10; clinical diagnosis</t>
  </si>
  <si>
    <t>ICD-9/ICD-10; clinical diagnosis</t>
  </si>
  <si>
    <t>ICD-8/ICD-9; hospital admission</t>
  </si>
  <si>
    <t>DSM-IV; clinical diagnosis</t>
  </si>
  <si>
    <t>ICD-10/ICD-8; clinical diagnosis</t>
  </si>
  <si>
    <t>ICD-9; clinical diagnosis</t>
  </si>
  <si>
    <t>ICD-8/9; clinical diagnosis</t>
  </si>
  <si>
    <t>ICD-9; hospital admissions</t>
  </si>
  <si>
    <t>ICD-9; Attending consultant</t>
  </si>
  <si>
    <t>ICD-9; Hospital diagnostic data</t>
  </si>
  <si>
    <t>ICD-10; registry</t>
  </si>
  <si>
    <t>ICD-9; Registry</t>
  </si>
  <si>
    <t>ICD-10; SCID-II</t>
  </si>
  <si>
    <t>total</t>
  </si>
  <si>
    <t>age</t>
  </si>
  <si>
    <t>disorder</t>
  </si>
  <si>
    <t>age, disorder</t>
  </si>
  <si>
    <t>sex, age</t>
  </si>
  <si>
    <t>location</t>
  </si>
  <si>
    <t>location, sex</t>
  </si>
  <si>
    <t>inpatient, sex</t>
  </si>
  <si>
    <t>outpatient, sex</t>
  </si>
  <si>
    <t>year, quarter</t>
  </si>
  <si>
    <t>inpatient</t>
  </si>
  <si>
    <t>outpatient</t>
  </si>
  <si>
    <t>Imputed data from NCS-R clinical reappraisal</t>
  </si>
  <si>
    <t>Seven graduate psychologists</t>
  </si>
  <si>
    <t xml:space="preserve">trained personnel with qualifications in psychology who completed extensive training. </t>
  </si>
  <si>
    <t>lay interviewer</t>
  </si>
  <si>
    <t>Trained lay interviewer</t>
  </si>
  <si>
    <t>University students</t>
  </si>
  <si>
    <t xml:space="preserve">psychiatrists </t>
  </si>
  <si>
    <t>three psychiatric residents and one child psychiatric resident, and one psychologist</t>
  </si>
  <si>
    <t>Trained interviewers</t>
  </si>
  <si>
    <t>Trained research psychologists</t>
  </si>
  <si>
    <t>experienced nurses, medical students and experienced interviewers who were trained</t>
  </si>
  <si>
    <t xml:space="preserve">Examiner or trained assistant </t>
  </si>
  <si>
    <t>Trained clinicians</t>
  </si>
  <si>
    <t>lay interviewer (assumption)</t>
  </si>
  <si>
    <t>10 physicians and research assistants</t>
  </si>
  <si>
    <t>trained lay interviewers</t>
  </si>
  <si>
    <t>two prinicpal interviewers and a senior consultant</t>
  </si>
  <si>
    <t>Graduate students in clinical psychology or by licensed clinical psychologists</t>
  </si>
  <si>
    <t>psychiatrist/psychologist</t>
  </si>
  <si>
    <t>well trained graduate psychologists and research assisstants</t>
  </si>
  <si>
    <t>trained psychologists and research assisstants</t>
  </si>
  <si>
    <t>Trained psychiatrists</t>
  </si>
  <si>
    <t>Two clinicians</t>
  </si>
  <si>
    <t xml:space="preserve">clinical psychologist and a psychiatric social worker </t>
  </si>
  <si>
    <t>lay interviewer; DIS-algorithm applied</t>
  </si>
  <si>
    <t>four masters level clinical psychologists</t>
  </si>
  <si>
    <t>Clinician</t>
  </si>
  <si>
    <t xml:space="preserve">Psychiatrist </t>
  </si>
  <si>
    <t>Hospital records</t>
  </si>
  <si>
    <t>Registry</t>
  </si>
  <si>
    <t>admissions, discharges, periods of leave, outpatient contacts</t>
  </si>
  <si>
    <t>Experienced psychiatrists</t>
  </si>
  <si>
    <t>Admissions</t>
  </si>
  <si>
    <t>psychiatric outpatient clinic or hospital admission record</t>
  </si>
  <si>
    <t>Census of patient database</t>
  </si>
  <si>
    <t>Clinicians and mental health teams</t>
  </si>
  <si>
    <t>Hospital admissions</t>
  </si>
  <si>
    <t>Mental health clinicians</t>
  </si>
  <si>
    <t>Experienced doctors, and one senior researcher and specialist in psychiatry</t>
  </si>
  <si>
    <t>psychiatrists or clinical psychologists</t>
  </si>
  <si>
    <t>Household</t>
  </si>
  <si>
    <t>electoral roll</t>
  </si>
  <si>
    <t>household</t>
  </si>
  <si>
    <t>birth cohort</t>
  </si>
  <si>
    <t>School</t>
  </si>
  <si>
    <t>Random registry sample</t>
  </si>
  <si>
    <t>Household and inpatient</t>
  </si>
  <si>
    <t>marketing company</t>
  </si>
  <si>
    <t>school</t>
  </si>
  <si>
    <t>population registry</t>
  </si>
  <si>
    <t>Birth register</t>
  </si>
  <si>
    <t>Phone list</t>
  </si>
  <si>
    <t>inpatient, outpatient</t>
  </si>
  <si>
    <t>In and outpatient</t>
  </si>
  <si>
    <t>cv_pd_broad</t>
  </si>
  <si>
    <t>São Paulo</t>
  </si>
  <si>
    <t>Sao Paulo</t>
  </si>
  <si>
    <t xml:space="preserve">Santana, G. L., Coelho, B. M., Wang, Y.-P., Chiavegatto Filho, A. D. P., Viana, M. C., &amp; Andrade, L. H. (2018). The epidemiology of personality disorders in the Sao Paulo Megacity general population. PLoS ONE, 13(4). https://doi.org/10.1371/journal.pone.0195581 </t>
  </si>
  <si>
    <t>Chanen AM, Jackson HJ, McGorry PD, Allot KA, Clarkson V, Yuen HP. Two-year stability of personality disorder in older adolescent outpatients. J Pers Disord. 2004; 18(6): 526-41.</t>
  </si>
  <si>
    <t>adolescent outpatient service for Western metropolitan Melbourne, Australia</t>
  </si>
  <si>
    <t>proportion</t>
  </si>
  <si>
    <t>A psychiatrist and two graduate research assistants</t>
  </si>
  <si>
    <t>Outpatient</t>
  </si>
  <si>
    <t>Vaglum P, Friis S, Karterud S, Mehlum L, Vaglum, S. Stability of the severe personality disorder diagnosis: A 2- to 5-year prospective study. J Pers Disord. 1993; 7(4): 348-353.</t>
  </si>
  <si>
    <t>Psychiatric Department B, Ulleval University Hospital, Oslo</t>
  </si>
  <si>
    <t>DSM-III-R; Clinical dx</t>
  </si>
  <si>
    <t>Individual therapist in collaboration with the treatment team</t>
  </si>
  <si>
    <t xml:space="preserve">Outpatient </t>
  </si>
  <si>
    <t>Personality disorders (F60)</t>
  </si>
  <si>
    <t>in and outpatient</t>
  </si>
  <si>
    <t xml:space="preserve">Høye, A., Jacobsen, B. K., Bramness, J. G., Nesvåg, R., Reichborn-Kjennerud, T., &amp; Heiberg, I. (2021). Total and cause-specific mortality in patients with personality disorders: the association between comorbid severe mental illness and substance use disorders. Soc Psychiatry Psychiatr Epidemiol, 56(10), 1809-1819. https://doi.org/10.1007/s00127-021-02055-3 </t>
  </si>
  <si>
    <t>age_mean</t>
  </si>
  <si>
    <t>age_sd</t>
  </si>
  <si>
    <t>Personality disorders (F60 - F61. 3010, 3012, 3013,3014, 3015, 3016,3017, 3018,3019, 3011)</t>
  </si>
  <si>
    <t>percent_female</t>
  </si>
  <si>
    <t>Ireland</t>
  </si>
  <si>
    <t>diagnostic criteria</t>
  </si>
  <si>
    <t>diagnostic criteria, disorder</t>
  </si>
  <si>
    <t>location_id</t>
  </si>
  <si>
    <t>study_id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</si>
</sst>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97"/>
  <sheetViews>
    <sheetView tabSelected="1" zoomScale="86" zoomScaleNormal="86" workbookViewId="0">
      <pane ySplit="1" topLeftCell="A150" activePane="bottomLeft" state="frozen"/>
      <selection activeCell="BB1" sqref="BB1"/>
      <selection pane="bottomLeft" activeCell="A187" sqref="A187"/>
    </sheetView>
  </sheetViews>
  <sheetFormatPr defaultRowHeight="14.4" x14ac:dyDescent="0.3"/>
  <cols>
    <col min="2" max="2" width="42.6640625" customWidth="1"/>
    <col min="5" max="5" width="32.109375" customWidth="1"/>
    <col min="9" max="9" width="28" customWidth="1"/>
    <col min="34" max="34" width="21" customWidth="1"/>
    <col min="35" max="35" width="29.44140625" customWidth="1"/>
    <col min="36" max="36" width="24.5546875" customWidth="1"/>
    <col min="37" max="37" width="18.6640625" customWidth="1"/>
    <col min="38" max="38" width="29.109375" customWidth="1"/>
    <col min="39" max="39" width="20.5546875" customWidth="1"/>
  </cols>
  <sheetData>
    <row r="1" spans="1:55" x14ac:dyDescent="0.3">
      <c r="A1" s="1" t="s">
        <v>414</v>
      </c>
      <c r="B1" s="1" t="s">
        <v>0</v>
      </c>
      <c r="C1" s="1" t="s">
        <v>1</v>
      </c>
      <c r="D1" s="1" t="s">
        <v>2</v>
      </c>
      <c r="E1" s="1" t="s">
        <v>3</v>
      </c>
      <c r="F1" s="1" t="s">
        <v>4</v>
      </c>
      <c r="G1" s="1" t="s">
        <v>413</v>
      </c>
      <c r="H1" s="1" t="s">
        <v>5</v>
      </c>
      <c r="I1" s="1" t="s">
        <v>6</v>
      </c>
      <c r="J1" s="1" t="s">
        <v>7</v>
      </c>
      <c r="K1" s="1" t="s">
        <v>409</v>
      </c>
      <c r="L1" s="1" t="s">
        <v>8</v>
      </c>
      <c r="M1" s="1" t="s">
        <v>9</v>
      </c>
      <c r="N1" s="1" t="s">
        <v>10</v>
      </c>
      <c r="O1" s="1" t="s">
        <v>11</v>
      </c>
      <c r="P1" s="1" t="s">
        <v>406</v>
      </c>
      <c r="Q1" s="1" t="s">
        <v>407</v>
      </c>
      <c r="R1" s="1" t="s">
        <v>12</v>
      </c>
      <c r="S1" s="1" t="s">
        <v>13</v>
      </c>
      <c r="T1" s="1" t="s">
        <v>14</v>
      </c>
      <c r="U1" s="1" t="s">
        <v>15</v>
      </c>
      <c r="V1" s="1" t="s">
        <v>16</v>
      </c>
      <c r="W1" s="1" t="s">
        <v>17</v>
      </c>
      <c r="X1" s="1" t="s">
        <v>18</v>
      </c>
      <c r="Y1" s="1" t="s">
        <v>19</v>
      </c>
      <c r="Z1" s="1" t="s">
        <v>20</v>
      </c>
      <c r="AA1" s="1" t="s">
        <v>21</v>
      </c>
      <c r="AB1" s="1" t="s">
        <v>22</v>
      </c>
      <c r="AC1" s="1" t="s">
        <v>23</v>
      </c>
      <c r="AD1" s="1" t="s">
        <v>24</v>
      </c>
      <c r="AE1" s="1" t="s">
        <v>25</v>
      </c>
      <c r="AF1" s="1" t="s">
        <v>26</v>
      </c>
      <c r="AG1" s="1" t="s">
        <v>27</v>
      </c>
      <c r="AH1" s="1" t="s">
        <v>28</v>
      </c>
      <c r="AI1" s="1" t="s">
        <v>29</v>
      </c>
      <c r="AJ1" s="1" t="s">
        <v>30</v>
      </c>
      <c r="AK1" s="1" t="s">
        <v>31</v>
      </c>
      <c r="AL1" s="1" t="s">
        <v>32</v>
      </c>
      <c r="AM1" s="1" t="s">
        <v>33</v>
      </c>
      <c r="AN1" s="1" t="s">
        <v>34</v>
      </c>
      <c r="AO1" s="1" t="s">
        <v>35</v>
      </c>
      <c r="AP1" s="1" t="s">
        <v>36</v>
      </c>
      <c r="AQ1" s="1" t="s">
        <v>37</v>
      </c>
      <c r="AR1" s="1" t="s">
        <v>38</v>
      </c>
      <c r="AS1" s="1" t="s">
        <v>39</v>
      </c>
      <c r="AT1" s="1" t="s">
        <v>40</v>
      </c>
      <c r="AU1" s="1" t="s">
        <v>389</v>
      </c>
      <c r="AV1" s="1" t="s">
        <v>41</v>
      </c>
      <c r="AW1" s="1" t="s">
        <v>42</v>
      </c>
      <c r="AX1" s="1" t="s">
        <v>43</v>
      </c>
      <c r="AY1" s="1" t="s">
        <v>44</v>
      </c>
      <c r="AZ1" s="1" t="s">
        <v>45</v>
      </c>
      <c r="BA1" s="1" t="s">
        <v>46</v>
      </c>
      <c r="BB1" s="1" t="s">
        <v>47</v>
      </c>
      <c r="BC1" s="1" t="s">
        <v>48</v>
      </c>
    </row>
    <row r="2" spans="1:55" x14ac:dyDescent="0.3">
      <c r="A2">
        <v>1</v>
      </c>
      <c r="B2" t="s">
        <v>62</v>
      </c>
      <c r="C2" t="s">
        <v>115</v>
      </c>
      <c r="D2" t="s">
        <v>126</v>
      </c>
      <c r="E2" t="s">
        <v>137</v>
      </c>
      <c r="F2" t="s">
        <v>151</v>
      </c>
      <c r="G2">
        <v>79</v>
      </c>
      <c r="H2">
        <v>1</v>
      </c>
      <c r="I2" t="s">
        <v>194</v>
      </c>
      <c r="J2" t="s">
        <v>230</v>
      </c>
      <c r="L2">
        <v>1995</v>
      </c>
      <c r="M2">
        <v>1995</v>
      </c>
      <c r="N2">
        <v>20</v>
      </c>
      <c r="O2">
        <v>24</v>
      </c>
      <c r="R2" t="s">
        <v>232</v>
      </c>
      <c r="S2">
        <v>7.3999999999999996E-2</v>
      </c>
      <c r="T2">
        <v>1.4E-2</v>
      </c>
      <c r="U2">
        <v>0.13400000000000001</v>
      </c>
      <c r="V2">
        <v>3.061280741547924E-2</v>
      </c>
      <c r="W2">
        <v>8</v>
      </c>
      <c r="X2">
        <v>233</v>
      </c>
      <c r="Y2" t="s">
        <v>236</v>
      </c>
      <c r="Z2">
        <v>1</v>
      </c>
      <c r="AA2">
        <v>0</v>
      </c>
      <c r="AB2">
        <v>0</v>
      </c>
      <c r="AC2">
        <v>95</v>
      </c>
      <c r="AD2" t="s">
        <v>239</v>
      </c>
      <c r="AE2" t="s">
        <v>241</v>
      </c>
      <c r="AF2" t="s">
        <v>243</v>
      </c>
      <c r="AH2" t="s">
        <v>262</v>
      </c>
      <c r="AI2" t="s">
        <v>262</v>
      </c>
      <c r="AJ2" t="s">
        <v>303</v>
      </c>
      <c r="AK2" t="s">
        <v>7</v>
      </c>
      <c r="AL2" t="s">
        <v>351</v>
      </c>
      <c r="AM2" t="s">
        <v>383</v>
      </c>
      <c r="AN2">
        <v>0</v>
      </c>
      <c r="AO2">
        <v>0</v>
      </c>
      <c r="AP2">
        <v>0</v>
      </c>
      <c r="AQ2">
        <v>0</v>
      </c>
      <c r="AR2">
        <v>0</v>
      </c>
      <c r="AS2">
        <v>0</v>
      </c>
      <c r="AT2">
        <v>0</v>
      </c>
      <c r="AU2">
        <v>0</v>
      </c>
      <c r="AV2">
        <v>1</v>
      </c>
      <c r="AW2">
        <v>0</v>
      </c>
      <c r="AX2">
        <v>0</v>
      </c>
      <c r="AY2">
        <v>0</v>
      </c>
      <c r="AZ2">
        <v>0</v>
      </c>
      <c r="BA2">
        <v>0</v>
      </c>
      <c r="BB2">
        <v>0</v>
      </c>
      <c r="BC2">
        <v>0</v>
      </c>
    </row>
    <row r="3" spans="1:55" x14ac:dyDescent="0.3">
      <c r="A3">
        <v>1</v>
      </c>
      <c r="B3" t="s">
        <v>62</v>
      </c>
      <c r="C3" t="s">
        <v>115</v>
      </c>
      <c r="D3" t="s">
        <v>126</v>
      </c>
      <c r="E3" t="s">
        <v>137</v>
      </c>
      <c r="F3" t="s">
        <v>151</v>
      </c>
      <c r="G3">
        <v>79</v>
      </c>
      <c r="H3">
        <v>1</v>
      </c>
      <c r="I3" t="s">
        <v>194</v>
      </c>
      <c r="J3" t="s">
        <v>231</v>
      </c>
      <c r="L3">
        <v>1995</v>
      </c>
      <c r="M3">
        <v>1995</v>
      </c>
      <c r="N3">
        <v>20</v>
      </c>
      <c r="O3">
        <v>24</v>
      </c>
      <c r="R3" t="s">
        <v>232</v>
      </c>
      <c r="S3">
        <v>4.9000000000000002E-2</v>
      </c>
      <c r="T3">
        <v>2.4E-2</v>
      </c>
      <c r="U3">
        <v>7.3999999999999996E-2</v>
      </c>
      <c r="V3">
        <v>1.275533642311635E-2</v>
      </c>
      <c r="W3">
        <v>14</v>
      </c>
      <c r="X3">
        <v>414</v>
      </c>
      <c r="Y3" t="s">
        <v>236</v>
      </c>
      <c r="Z3">
        <v>1</v>
      </c>
      <c r="AA3">
        <v>0</v>
      </c>
      <c r="AB3">
        <v>0</v>
      </c>
      <c r="AC3">
        <v>95</v>
      </c>
      <c r="AD3" t="s">
        <v>239</v>
      </c>
      <c r="AE3" t="s">
        <v>241</v>
      </c>
      <c r="AF3" t="s">
        <v>243</v>
      </c>
      <c r="AH3" t="s">
        <v>262</v>
      </c>
      <c r="AI3" t="s">
        <v>262</v>
      </c>
      <c r="AJ3" t="s">
        <v>303</v>
      </c>
      <c r="AK3" t="s">
        <v>7</v>
      </c>
      <c r="AL3" t="s">
        <v>351</v>
      </c>
      <c r="AM3" t="s">
        <v>383</v>
      </c>
      <c r="AN3">
        <v>0</v>
      </c>
      <c r="AO3">
        <v>0</v>
      </c>
      <c r="AP3">
        <v>0</v>
      </c>
      <c r="AQ3">
        <v>0</v>
      </c>
      <c r="AR3">
        <v>0</v>
      </c>
      <c r="AS3">
        <v>0</v>
      </c>
      <c r="AT3">
        <v>0</v>
      </c>
      <c r="AU3">
        <v>0</v>
      </c>
      <c r="AV3">
        <v>1</v>
      </c>
      <c r="AW3">
        <v>0</v>
      </c>
      <c r="AX3">
        <v>0</v>
      </c>
      <c r="AY3">
        <v>0</v>
      </c>
      <c r="AZ3">
        <v>0</v>
      </c>
      <c r="BA3">
        <v>0</v>
      </c>
      <c r="BB3">
        <v>0</v>
      </c>
      <c r="BC3">
        <v>0</v>
      </c>
    </row>
    <row r="4" spans="1:55" x14ac:dyDescent="0.3">
      <c r="A4">
        <v>2</v>
      </c>
      <c r="B4" t="s">
        <v>79</v>
      </c>
      <c r="C4" t="s">
        <v>103</v>
      </c>
      <c r="D4" t="s">
        <v>102</v>
      </c>
      <c r="E4" t="s">
        <v>140</v>
      </c>
      <c r="F4" t="s">
        <v>180</v>
      </c>
      <c r="G4">
        <v>434</v>
      </c>
      <c r="H4">
        <v>0</v>
      </c>
      <c r="I4" t="s">
        <v>181</v>
      </c>
      <c r="J4" t="s">
        <v>229</v>
      </c>
      <c r="K4">
        <f>(1095+1113)/(1095+1113+1580+1221)</f>
        <v>0.44080654821321619</v>
      </c>
      <c r="L4">
        <v>1986</v>
      </c>
      <c r="M4">
        <v>2010</v>
      </c>
      <c r="N4">
        <v>16</v>
      </c>
      <c r="O4">
        <v>99</v>
      </c>
      <c r="P4">
        <v>36.950000000000003</v>
      </c>
      <c r="R4" t="s">
        <v>233</v>
      </c>
      <c r="S4">
        <v>2.48467600700525</v>
      </c>
      <c r="T4">
        <v>2.3401253977293779</v>
      </c>
      <c r="U4">
        <v>2.6292266162811222</v>
      </c>
      <c r="V4">
        <v>7.3751666059207605E-2</v>
      </c>
      <c r="W4">
        <v>1034</v>
      </c>
      <c r="X4">
        <v>5009</v>
      </c>
      <c r="Y4" t="s">
        <v>236</v>
      </c>
      <c r="Z4">
        <v>1</v>
      </c>
      <c r="AA4">
        <v>0</v>
      </c>
      <c r="AB4">
        <v>0</v>
      </c>
      <c r="AC4">
        <v>95</v>
      </c>
      <c r="AD4" t="s">
        <v>238</v>
      </c>
      <c r="AE4" t="s">
        <v>240</v>
      </c>
      <c r="AF4" t="s">
        <v>246</v>
      </c>
      <c r="AH4" t="s">
        <v>408</v>
      </c>
      <c r="AI4" t="s">
        <v>262</v>
      </c>
      <c r="AJ4" t="s">
        <v>309</v>
      </c>
      <c r="AK4" t="s">
        <v>323</v>
      </c>
      <c r="AL4" t="s">
        <v>361</v>
      </c>
      <c r="AM4" t="s">
        <v>333</v>
      </c>
      <c r="AN4">
        <v>1</v>
      </c>
      <c r="AO4">
        <v>0</v>
      </c>
      <c r="AP4">
        <v>0</v>
      </c>
      <c r="AQ4">
        <v>0</v>
      </c>
      <c r="AR4">
        <v>1</v>
      </c>
      <c r="AS4">
        <v>0</v>
      </c>
      <c r="AT4">
        <v>0</v>
      </c>
      <c r="AU4">
        <v>0</v>
      </c>
      <c r="AV4">
        <v>0</v>
      </c>
      <c r="AW4">
        <v>0</v>
      </c>
      <c r="AX4">
        <v>0</v>
      </c>
      <c r="AY4">
        <v>0</v>
      </c>
      <c r="AZ4">
        <v>0</v>
      </c>
      <c r="BA4">
        <v>0</v>
      </c>
      <c r="BB4">
        <v>0</v>
      </c>
      <c r="BC4">
        <v>0</v>
      </c>
    </row>
    <row r="5" spans="1:55" x14ac:dyDescent="0.3">
      <c r="A5">
        <v>3</v>
      </c>
      <c r="B5" t="s">
        <v>69</v>
      </c>
      <c r="C5" t="s">
        <v>122</v>
      </c>
      <c r="D5" t="s">
        <v>133</v>
      </c>
      <c r="E5" t="s">
        <v>137</v>
      </c>
      <c r="F5" t="s">
        <v>159</v>
      </c>
      <c r="G5">
        <v>81</v>
      </c>
      <c r="H5">
        <v>1</v>
      </c>
      <c r="I5" t="s">
        <v>202</v>
      </c>
      <c r="J5" t="s">
        <v>229</v>
      </c>
      <c r="K5">
        <v>0.52700000000000002</v>
      </c>
      <c r="L5">
        <v>2007</v>
      </c>
      <c r="M5">
        <v>2010</v>
      </c>
      <c r="N5">
        <v>18</v>
      </c>
      <c r="O5">
        <v>89</v>
      </c>
      <c r="P5">
        <v>51.47</v>
      </c>
      <c r="Q5">
        <v>16.91</v>
      </c>
      <c r="R5" t="s">
        <v>232</v>
      </c>
      <c r="S5">
        <v>8.0000000000000002E-3</v>
      </c>
      <c r="T5">
        <v>5.1794331534448252E-3</v>
      </c>
      <c r="U5">
        <v>1.233751547351637E-2</v>
      </c>
      <c r="V5">
        <v>1.82889441280695E-3</v>
      </c>
      <c r="W5">
        <v>19.904</v>
      </c>
      <c r="X5">
        <v>2488</v>
      </c>
      <c r="Y5" t="s">
        <v>236</v>
      </c>
      <c r="Z5">
        <v>1</v>
      </c>
      <c r="AA5">
        <v>0</v>
      </c>
      <c r="AB5">
        <v>0</v>
      </c>
      <c r="AC5">
        <v>95</v>
      </c>
      <c r="AD5" t="s">
        <v>239</v>
      </c>
      <c r="AE5" t="s">
        <v>240</v>
      </c>
      <c r="AF5" t="s">
        <v>243</v>
      </c>
      <c r="AH5" t="s">
        <v>253</v>
      </c>
      <c r="AI5" t="s">
        <v>253</v>
      </c>
      <c r="AJ5" t="s">
        <v>291</v>
      </c>
      <c r="AK5" t="s">
        <v>323</v>
      </c>
      <c r="AL5" t="s">
        <v>355</v>
      </c>
      <c r="AM5" t="s">
        <v>384</v>
      </c>
      <c r="AN5">
        <v>0</v>
      </c>
      <c r="AO5">
        <v>1</v>
      </c>
      <c r="AP5">
        <v>0</v>
      </c>
      <c r="AQ5">
        <v>1</v>
      </c>
      <c r="AR5">
        <v>0</v>
      </c>
      <c r="AS5">
        <v>0</v>
      </c>
      <c r="AT5">
        <v>0</v>
      </c>
      <c r="AU5">
        <v>0</v>
      </c>
      <c r="AV5">
        <v>0</v>
      </c>
      <c r="AW5">
        <v>0</v>
      </c>
      <c r="AX5">
        <v>0</v>
      </c>
      <c r="AY5">
        <v>0</v>
      </c>
      <c r="AZ5">
        <v>0</v>
      </c>
      <c r="BA5">
        <v>0</v>
      </c>
      <c r="BB5">
        <v>1</v>
      </c>
      <c r="BC5">
        <v>0</v>
      </c>
    </row>
    <row r="6" spans="1:55" x14ac:dyDescent="0.3">
      <c r="A6">
        <v>4</v>
      </c>
      <c r="B6" t="s">
        <v>66</v>
      </c>
      <c r="C6" t="s">
        <v>119</v>
      </c>
      <c r="D6" t="s">
        <v>104</v>
      </c>
      <c r="E6" t="s">
        <v>137</v>
      </c>
      <c r="F6" t="s">
        <v>159</v>
      </c>
      <c r="G6">
        <v>81</v>
      </c>
      <c r="H6">
        <v>1</v>
      </c>
      <c r="I6" t="s">
        <v>197</v>
      </c>
      <c r="J6" t="s">
        <v>230</v>
      </c>
      <c r="L6">
        <v>2005</v>
      </c>
      <c r="M6">
        <v>2008</v>
      </c>
      <c r="N6">
        <v>15</v>
      </c>
      <c r="O6">
        <v>23</v>
      </c>
      <c r="R6" t="s">
        <v>232</v>
      </c>
      <c r="S6">
        <v>0.153084967320261</v>
      </c>
      <c r="T6">
        <v>0.1045935445627031</v>
      </c>
      <c r="U6">
        <v>0.21857010873281449</v>
      </c>
      <c r="V6">
        <v>2.9806220958627439E-2</v>
      </c>
      <c r="W6">
        <v>23.422000000000001</v>
      </c>
      <c r="X6">
        <v>153</v>
      </c>
      <c r="Y6" t="s">
        <v>236</v>
      </c>
      <c r="Z6">
        <v>1</v>
      </c>
      <c r="AA6">
        <v>0</v>
      </c>
      <c r="AB6">
        <v>0</v>
      </c>
      <c r="AC6">
        <v>95</v>
      </c>
      <c r="AD6" t="s">
        <v>239</v>
      </c>
      <c r="AE6" t="s">
        <v>240</v>
      </c>
      <c r="AF6" t="s">
        <v>243</v>
      </c>
      <c r="AH6" t="s">
        <v>247</v>
      </c>
      <c r="AI6" t="s">
        <v>262</v>
      </c>
      <c r="AJ6" t="s">
        <v>304</v>
      </c>
      <c r="AK6" t="s">
        <v>7</v>
      </c>
      <c r="AL6" t="s">
        <v>354</v>
      </c>
      <c r="AM6" t="s">
        <v>384</v>
      </c>
      <c r="AN6">
        <v>0</v>
      </c>
      <c r="AO6">
        <v>0</v>
      </c>
      <c r="AP6">
        <v>0</v>
      </c>
      <c r="AQ6">
        <v>0</v>
      </c>
      <c r="AR6">
        <v>0</v>
      </c>
      <c r="AS6">
        <v>0</v>
      </c>
      <c r="AT6">
        <v>0</v>
      </c>
      <c r="AU6">
        <v>0</v>
      </c>
      <c r="AV6">
        <v>1</v>
      </c>
      <c r="AW6">
        <v>0</v>
      </c>
      <c r="AX6">
        <v>0</v>
      </c>
      <c r="AY6">
        <v>0</v>
      </c>
      <c r="AZ6">
        <v>0</v>
      </c>
      <c r="BA6">
        <v>0</v>
      </c>
      <c r="BB6">
        <v>0</v>
      </c>
      <c r="BC6">
        <v>1</v>
      </c>
    </row>
    <row r="7" spans="1:55" x14ac:dyDescent="0.3">
      <c r="A7">
        <v>4</v>
      </c>
      <c r="B7" t="s">
        <v>66</v>
      </c>
      <c r="C7" t="s">
        <v>119</v>
      </c>
      <c r="D7" t="s">
        <v>104</v>
      </c>
      <c r="E7" t="s">
        <v>137</v>
      </c>
      <c r="F7" t="s">
        <v>159</v>
      </c>
      <c r="G7">
        <v>81</v>
      </c>
      <c r="H7">
        <v>1</v>
      </c>
      <c r="I7" t="s">
        <v>197</v>
      </c>
      <c r="J7" t="s">
        <v>231</v>
      </c>
      <c r="L7">
        <v>2005</v>
      </c>
      <c r="M7">
        <v>2008</v>
      </c>
      <c r="N7">
        <v>15</v>
      </c>
      <c r="O7">
        <v>23</v>
      </c>
      <c r="R7" t="s">
        <v>232</v>
      </c>
      <c r="S7">
        <v>0.141436464088398</v>
      </c>
      <c r="T7">
        <v>9.8102582244947972E-2</v>
      </c>
      <c r="U7">
        <v>0.1996740051714459</v>
      </c>
      <c r="V7">
        <v>2.6461488023496491E-2</v>
      </c>
      <c r="W7">
        <v>25.6</v>
      </c>
      <c r="X7">
        <v>181</v>
      </c>
      <c r="Y7" t="s">
        <v>236</v>
      </c>
      <c r="Z7">
        <v>1</v>
      </c>
      <c r="AA7">
        <v>0</v>
      </c>
      <c r="AB7">
        <v>0</v>
      </c>
      <c r="AC7">
        <v>95</v>
      </c>
      <c r="AD7" t="s">
        <v>239</v>
      </c>
      <c r="AE7" t="s">
        <v>240</v>
      </c>
      <c r="AF7" t="s">
        <v>243</v>
      </c>
      <c r="AH7" t="s">
        <v>247</v>
      </c>
      <c r="AI7" t="s">
        <v>262</v>
      </c>
      <c r="AJ7" t="s">
        <v>304</v>
      </c>
      <c r="AK7" t="s">
        <v>7</v>
      </c>
      <c r="AL7" t="s">
        <v>354</v>
      </c>
      <c r="AM7" t="s">
        <v>384</v>
      </c>
      <c r="AN7">
        <v>0</v>
      </c>
      <c r="AO7">
        <v>0</v>
      </c>
      <c r="AP7">
        <v>0</v>
      </c>
      <c r="AQ7">
        <v>0</v>
      </c>
      <c r="AR7">
        <v>0</v>
      </c>
      <c r="AS7">
        <v>0</v>
      </c>
      <c r="AT7">
        <v>0</v>
      </c>
      <c r="AU7">
        <v>0</v>
      </c>
      <c r="AV7">
        <v>1</v>
      </c>
      <c r="AW7">
        <v>0</v>
      </c>
      <c r="AX7">
        <v>0</v>
      </c>
      <c r="AY7">
        <v>0</v>
      </c>
      <c r="AZ7">
        <v>0</v>
      </c>
      <c r="BA7">
        <v>0</v>
      </c>
      <c r="BB7">
        <v>0</v>
      </c>
      <c r="BC7">
        <v>1</v>
      </c>
    </row>
    <row r="8" spans="1:55" x14ac:dyDescent="0.3">
      <c r="A8">
        <v>4</v>
      </c>
      <c r="B8" t="s">
        <v>66</v>
      </c>
      <c r="C8" t="s">
        <v>119</v>
      </c>
      <c r="D8" t="s">
        <v>104</v>
      </c>
      <c r="E8" t="s">
        <v>137</v>
      </c>
      <c r="F8" t="s">
        <v>159</v>
      </c>
      <c r="G8">
        <v>81</v>
      </c>
      <c r="H8">
        <v>1</v>
      </c>
      <c r="I8" t="s">
        <v>197</v>
      </c>
      <c r="J8" t="s">
        <v>229</v>
      </c>
      <c r="K8">
        <f>181/334</f>
        <v>0.54191616766467066</v>
      </c>
      <c r="L8">
        <v>2005</v>
      </c>
      <c r="M8">
        <v>2008</v>
      </c>
      <c r="N8">
        <v>15</v>
      </c>
      <c r="O8">
        <v>23</v>
      </c>
      <c r="R8" t="s">
        <v>232</v>
      </c>
      <c r="S8">
        <v>1.7999999999999999E-2</v>
      </c>
      <c r="T8">
        <v>8.2811558283165925E-3</v>
      </c>
      <c r="U8">
        <v>3.8680098945078623E-2</v>
      </c>
      <c r="V8">
        <v>7.8441677920153656E-3</v>
      </c>
      <c r="W8">
        <v>6</v>
      </c>
      <c r="X8">
        <v>334</v>
      </c>
      <c r="Y8" t="s">
        <v>236</v>
      </c>
      <c r="Z8">
        <v>1</v>
      </c>
      <c r="AA8">
        <v>0</v>
      </c>
      <c r="AB8">
        <v>0</v>
      </c>
      <c r="AC8">
        <v>95</v>
      </c>
      <c r="AD8" t="s">
        <v>239</v>
      </c>
      <c r="AE8" t="s">
        <v>240</v>
      </c>
      <c r="AF8" t="s">
        <v>243</v>
      </c>
      <c r="AH8" t="s">
        <v>248</v>
      </c>
      <c r="AI8" t="s">
        <v>258</v>
      </c>
      <c r="AJ8" t="s">
        <v>304</v>
      </c>
      <c r="AK8" t="s">
        <v>325</v>
      </c>
      <c r="AL8" t="s">
        <v>354</v>
      </c>
      <c r="AM8" t="s">
        <v>384</v>
      </c>
      <c r="AN8">
        <v>0</v>
      </c>
      <c r="AO8">
        <v>1</v>
      </c>
      <c r="AP8">
        <v>1</v>
      </c>
      <c r="AQ8">
        <v>0</v>
      </c>
      <c r="AR8">
        <v>0</v>
      </c>
      <c r="AS8">
        <v>0</v>
      </c>
      <c r="AT8">
        <v>0</v>
      </c>
      <c r="AU8">
        <v>0</v>
      </c>
      <c r="AV8">
        <v>1</v>
      </c>
      <c r="AW8">
        <v>0</v>
      </c>
      <c r="AX8">
        <v>0</v>
      </c>
      <c r="AY8">
        <v>0</v>
      </c>
      <c r="AZ8">
        <v>0</v>
      </c>
      <c r="BA8">
        <v>1</v>
      </c>
      <c r="BB8">
        <v>0</v>
      </c>
      <c r="BC8">
        <v>0</v>
      </c>
    </row>
    <row r="9" spans="1:55" x14ac:dyDescent="0.3">
      <c r="A9">
        <v>4</v>
      </c>
      <c r="B9" t="s">
        <v>66</v>
      </c>
      <c r="C9" t="s">
        <v>119</v>
      </c>
      <c r="D9" t="s">
        <v>104</v>
      </c>
      <c r="E9" t="s">
        <v>137</v>
      </c>
      <c r="F9" t="s">
        <v>159</v>
      </c>
      <c r="G9">
        <v>81</v>
      </c>
      <c r="H9">
        <v>1</v>
      </c>
      <c r="I9" t="s">
        <v>197</v>
      </c>
      <c r="J9" t="s">
        <v>229</v>
      </c>
      <c r="K9">
        <f>181/334</f>
        <v>0.54191616766467066</v>
      </c>
      <c r="L9">
        <v>2005</v>
      </c>
      <c r="M9">
        <v>2008</v>
      </c>
      <c r="N9">
        <v>15</v>
      </c>
      <c r="O9">
        <v>23</v>
      </c>
      <c r="R9" t="s">
        <v>232</v>
      </c>
      <c r="S9">
        <v>4.2000000000000003E-2</v>
      </c>
      <c r="T9">
        <v>2.5193469654564871E-2</v>
      </c>
      <c r="U9">
        <v>6.9221996499408189E-2</v>
      </c>
      <c r="V9">
        <v>1.1361156566517859E-2</v>
      </c>
      <c r="W9">
        <v>14</v>
      </c>
      <c r="X9">
        <v>334</v>
      </c>
      <c r="Y9" t="s">
        <v>236</v>
      </c>
      <c r="Z9">
        <v>1</v>
      </c>
      <c r="AA9">
        <v>0</v>
      </c>
      <c r="AB9">
        <v>0</v>
      </c>
      <c r="AC9">
        <v>95</v>
      </c>
      <c r="AD9" t="s">
        <v>239</v>
      </c>
      <c r="AE9" t="s">
        <v>240</v>
      </c>
      <c r="AF9" t="s">
        <v>243</v>
      </c>
      <c r="AH9" t="s">
        <v>249</v>
      </c>
      <c r="AI9" t="s">
        <v>253</v>
      </c>
      <c r="AJ9" t="s">
        <v>304</v>
      </c>
      <c r="AK9" t="s">
        <v>325</v>
      </c>
      <c r="AL9" t="s">
        <v>354</v>
      </c>
      <c r="AM9" t="s">
        <v>384</v>
      </c>
      <c r="AN9">
        <v>0</v>
      </c>
      <c r="AO9">
        <v>1</v>
      </c>
      <c r="AP9">
        <v>0</v>
      </c>
      <c r="AQ9">
        <v>1</v>
      </c>
      <c r="AR9">
        <v>0</v>
      </c>
      <c r="AS9">
        <v>0</v>
      </c>
      <c r="AT9">
        <v>0</v>
      </c>
      <c r="AU9">
        <v>0</v>
      </c>
      <c r="AV9">
        <v>1</v>
      </c>
      <c r="AW9">
        <v>0</v>
      </c>
      <c r="AX9">
        <v>0</v>
      </c>
      <c r="AY9">
        <v>0</v>
      </c>
      <c r="AZ9">
        <v>0</v>
      </c>
      <c r="BA9">
        <v>0</v>
      </c>
      <c r="BB9">
        <v>1</v>
      </c>
      <c r="BC9">
        <v>0</v>
      </c>
    </row>
    <row r="10" spans="1:55" x14ac:dyDescent="0.3">
      <c r="A10">
        <v>5</v>
      </c>
      <c r="B10" t="s">
        <v>92</v>
      </c>
      <c r="C10" t="s">
        <v>102</v>
      </c>
      <c r="D10" t="s">
        <v>126</v>
      </c>
      <c r="E10" t="s">
        <v>140</v>
      </c>
      <c r="F10" t="s">
        <v>150</v>
      </c>
      <c r="G10">
        <v>4749</v>
      </c>
      <c r="H10">
        <v>1</v>
      </c>
      <c r="I10" t="s">
        <v>215</v>
      </c>
      <c r="J10" t="s">
        <v>229</v>
      </c>
      <c r="L10">
        <v>1986</v>
      </c>
      <c r="M10">
        <v>1990</v>
      </c>
      <c r="N10">
        <v>5</v>
      </c>
      <c r="O10">
        <v>85</v>
      </c>
      <c r="R10" t="s">
        <v>233</v>
      </c>
      <c r="S10">
        <v>2.0699999999999998</v>
      </c>
      <c r="T10">
        <v>1.694907078326864</v>
      </c>
      <c r="U10">
        <v>2.445092921673135</v>
      </c>
      <c r="V10">
        <v>0.191377456234819</v>
      </c>
      <c r="W10">
        <v>117</v>
      </c>
      <c r="X10">
        <v>778</v>
      </c>
      <c r="Y10" t="s">
        <v>236</v>
      </c>
      <c r="Z10">
        <v>1</v>
      </c>
      <c r="AA10">
        <v>0</v>
      </c>
      <c r="AB10">
        <v>0</v>
      </c>
      <c r="AC10">
        <v>95</v>
      </c>
      <c r="AD10" t="s">
        <v>239</v>
      </c>
      <c r="AE10" t="s">
        <v>241</v>
      </c>
      <c r="AF10" t="s">
        <v>246</v>
      </c>
      <c r="AH10" t="s">
        <v>262</v>
      </c>
      <c r="AI10" t="s">
        <v>262</v>
      </c>
      <c r="AJ10" t="s">
        <v>318</v>
      </c>
      <c r="AK10" t="s">
        <v>323</v>
      </c>
      <c r="AL10" t="s">
        <v>369</v>
      </c>
      <c r="AM10" t="s">
        <v>387</v>
      </c>
      <c r="AN10">
        <v>1</v>
      </c>
      <c r="AO10">
        <v>0</v>
      </c>
      <c r="AP10">
        <v>0</v>
      </c>
      <c r="AQ10">
        <v>0</v>
      </c>
      <c r="AR10">
        <v>0</v>
      </c>
      <c r="AS10">
        <v>0</v>
      </c>
      <c r="AT10">
        <v>1</v>
      </c>
      <c r="AU10">
        <v>0</v>
      </c>
      <c r="AV10">
        <v>0</v>
      </c>
      <c r="AW10">
        <v>0</v>
      </c>
      <c r="AX10">
        <v>0</v>
      </c>
      <c r="AY10">
        <v>0</v>
      </c>
      <c r="AZ10">
        <v>0</v>
      </c>
      <c r="BA10">
        <v>0</v>
      </c>
      <c r="BB10">
        <v>0</v>
      </c>
      <c r="BC10">
        <v>0</v>
      </c>
    </row>
    <row r="11" spans="1:55" x14ac:dyDescent="0.3">
      <c r="A11">
        <v>6</v>
      </c>
      <c r="B11" t="s">
        <v>80</v>
      </c>
      <c r="C11" t="s">
        <v>126</v>
      </c>
      <c r="D11" t="s">
        <v>130</v>
      </c>
      <c r="E11" t="s">
        <v>140</v>
      </c>
      <c r="F11" t="s">
        <v>161</v>
      </c>
      <c r="G11">
        <v>93</v>
      </c>
      <c r="H11">
        <v>0</v>
      </c>
      <c r="I11" t="s">
        <v>181</v>
      </c>
      <c r="J11" t="s">
        <v>231</v>
      </c>
      <c r="L11">
        <v>2001</v>
      </c>
      <c r="M11">
        <v>2012</v>
      </c>
      <c r="N11">
        <v>15</v>
      </c>
      <c r="O11">
        <v>64</v>
      </c>
      <c r="P11">
        <v>31.7</v>
      </c>
      <c r="R11" t="s">
        <v>233</v>
      </c>
      <c r="S11">
        <v>10.8</v>
      </c>
      <c r="T11">
        <v>9.6999999999999993</v>
      </c>
      <c r="U11">
        <v>12.1</v>
      </c>
      <c r="V11">
        <v>0.62661198059636969</v>
      </c>
      <c r="W11">
        <v>311</v>
      </c>
      <c r="X11">
        <v>6839</v>
      </c>
      <c r="Y11" t="s">
        <v>236</v>
      </c>
      <c r="Z11">
        <v>1</v>
      </c>
      <c r="AA11">
        <v>0</v>
      </c>
      <c r="AB11">
        <v>0</v>
      </c>
      <c r="AC11">
        <v>95</v>
      </c>
      <c r="AD11" t="s">
        <v>238</v>
      </c>
      <c r="AE11" t="s">
        <v>240</v>
      </c>
      <c r="AF11" t="s">
        <v>246</v>
      </c>
      <c r="AH11" t="s">
        <v>273</v>
      </c>
      <c r="AI11" t="s">
        <v>262</v>
      </c>
      <c r="AJ11" t="s">
        <v>310</v>
      </c>
      <c r="AK11" t="s">
        <v>330</v>
      </c>
      <c r="AL11" t="s">
        <v>361</v>
      </c>
      <c r="AM11" t="s">
        <v>333</v>
      </c>
      <c r="AN11">
        <v>1</v>
      </c>
      <c r="AO11">
        <v>0</v>
      </c>
      <c r="AP11">
        <v>0</v>
      </c>
      <c r="AQ11">
        <v>0</v>
      </c>
      <c r="AR11">
        <v>1</v>
      </c>
      <c r="AS11">
        <v>0</v>
      </c>
      <c r="AT11">
        <v>0</v>
      </c>
      <c r="AU11">
        <v>0</v>
      </c>
      <c r="AV11">
        <v>0</v>
      </c>
      <c r="AW11">
        <v>0</v>
      </c>
      <c r="AX11">
        <v>0</v>
      </c>
      <c r="AY11">
        <v>0</v>
      </c>
      <c r="AZ11">
        <v>0</v>
      </c>
      <c r="BA11">
        <v>0</v>
      </c>
      <c r="BB11">
        <v>0</v>
      </c>
      <c r="BC11">
        <v>0</v>
      </c>
    </row>
    <row r="12" spans="1:55" x14ac:dyDescent="0.3">
      <c r="A12">
        <v>6</v>
      </c>
      <c r="B12" t="s">
        <v>80</v>
      </c>
      <c r="C12" t="s">
        <v>126</v>
      </c>
      <c r="D12" t="s">
        <v>130</v>
      </c>
      <c r="E12" t="s">
        <v>140</v>
      </c>
      <c r="F12" t="s">
        <v>161</v>
      </c>
      <c r="G12">
        <v>93</v>
      </c>
      <c r="H12">
        <v>0</v>
      </c>
      <c r="I12" t="s">
        <v>181</v>
      </c>
      <c r="J12" t="s">
        <v>230</v>
      </c>
      <c r="L12">
        <v>2001</v>
      </c>
      <c r="M12">
        <v>2012</v>
      </c>
      <c r="N12">
        <v>15</v>
      </c>
      <c r="O12">
        <v>64</v>
      </c>
      <c r="P12">
        <v>37.4</v>
      </c>
      <c r="R12" t="s">
        <v>233</v>
      </c>
      <c r="S12">
        <v>9.6</v>
      </c>
      <c r="T12">
        <v>8.6</v>
      </c>
      <c r="U12">
        <v>10.7</v>
      </c>
      <c r="V12">
        <v>0.55025886309265382</v>
      </c>
      <c r="W12">
        <v>310</v>
      </c>
      <c r="X12">
        <v>3107</v>
      </c>
      <c r="Y12" t="s">
        <v>236</v>
      </c>
      <c r="Z12">
        <v>1</v>
      </c>
      <c r="AA12">
        <v>0</v>
      </c>
      <c r="AB12">
        <v>0</v>
      </c>
      <c r="AC12">
        <v>95</v>
      </c>
      <c r="AD12" t="s">
        <v>238</v>
      </c>
      <c r="AE12" t="s">
        <v>240</v>
      </c>
      <c r="AF12" t="s">
        <v>246</v>
      </c>
      <c r="AH12" t="s">
        <v>273</v>
      </c>
      <c r="AI12" t="s">
        <v>262</v>
      </c>
      <c r="AJ12" t="s">
        <v>310</v>
      </c>
      <c r="AK12" t="s">
        <v>330</v>
      </c>
      <c r="AL12" t="s">
        <v>361</v>
      </c>
      <c r="AM12" t="s">
        <v>333</v>
      </c>
      <c r="AN12">
        <v>1</v>
      </c>
      <c r="AO12">
        <v>0</v>
      </c>
      <c r="AP12">
        <v>0</v>
      </c>
      <c r="AQ12">
        <v>0</v>
      </c>
      <c r="AR12">
        <v>1</v>
      </c>
      <c r="AS12">
        <v>0</v>
      </c>
      <c r="AT12">
        <v>0</v>
      </c>
      <c r="AU12">
        <v>0</v>
      </c>
      <c r="AV12">
        <v>0</v>
      </c>
      <c r="AW12">
        <v>0</v>
      </c>
      <c r="AX12">
        <v>0</v>
      </c>
      <c r="AY12">
        <v>0</v>
      </c>
      <c r="AZ12">
        <v>0</v>
      </c>
      <c r="BA12">
        <v>0</v>
      </c>
      <c r="BB12">
        <v>0</v>
      </c>
      <c r="BC12">
        <v>0</v>
      </c>
    </row>
    <row r="13" spans="1:55" x14ac:dyDescent="0.3">
      <c r="A13">
        <v>6</v>
      </c>
      <c r="B13" t="s">
        <v>80</v>
      </c>
      <c r="C13" t="s">
        <v>126</v>
      </c>
      <c r="D13" t="s">
        <v>130</v>
      </c>
      <c r="E13" t="s">
        <v>140</v>
      </c>
      <c r="F13" t="s">
        <v>161</v>
      </c>
      <c r="G13">
        <v>93</v>
      </c>
      <c r="H13">
        <v>0</v>
      </c>
      <c r="I13" t="s">
        <v>181</v>
      </c>
      <c r="J13" t="s">
        <v>231</v>
      </c>
      <c r="L13">
        <v>2001</v>
      </c>
      <c r="M13">
        <v>2012</v>
      </c>
      <c r="N13">
        <v>15</v>
      </c>
      <c r="O13">
        <v>64</v>
      </c>
      <c r="P13">
        <v>36.299999999999997</v>
      </c>
      <c r="R13" t="s">
        <v>233</v>
      </c>
      <c r="S13">
        <v>3.7</v>
      </c>
      <c r="T13">
        <v>3.3</v>
      </c>
      <c r="U13">
        <v>4.0999999999999996</v>
      </c>
      <c r="V13">
        <v>0.21066499681079071</v>
      </c>
      <c r="W13">
        <v>295</v>
      </c>
      <c r="X13">
        <v>14297</v>
      </c>
      <c r="Y13" t="s">
        <v>236</v>
      </c>
      <c r="Z13">
        <v>1</v>
      </c>
      <c r="AA13">
        <v>0</v>
      </c>
      <c r="AB13">
        <v>0</v>
      </c>
      <c r="AC13">
        <v>95</v>
      </c>
      <c r="AD13" t="s">
        <v>238</v>
      </c>
      <c r="AE13" t="s">
        <v>240</v>
      </c>
      <c r="AF13" t="s">
        <v>246</v>
      </c>
      <c r="AH13" t="s">
        <v>273</v>
      </c>
      <c r="AI13" t="s">
        <v>262</v>
      </c>
      <c r="AJ13" t="s">
        <v>310</v>
      </c>
      <c r="AK13" t="s">
        <v>331</v>
      </c>
      <c r="AL13" t="s">
        <v>361</v>
      </c>
      <c r="AM13" t="s">
        <v>334</v>
      </c>
      <c r="AN13">
        <v>1</v>
      </c>
      <c r="AO13">
        <v>0</v>
      </c>
      <c r="AP13">
        <v>0</v>
      </c>
      <c r="AQ13">
        <v>0</v>
      </c>
      <c r="AR13">
        <v>0</v>
      </c>
      <c r="AS13">
        <v>1</v>
      </c>
      <c r="AT13">
        <v>0</v>
      </c>
      <c r="AU13">
        <v>0</v>
      </c>
      <c r="AV13">
        <v>0</v>
      </c>
      <c r="AW13">
        <v>0</v>
      </c>
      <c r="AX13">
        <v>0</v>
      </c>
      <c r="AY13">
        <v>0</v>
      </c>
      <c r="AZ13">
        <v>0</v>
      </c>
      <c r="BA13">
        <v>0</v>
      </c>
      <c r="BB13">
        <v>0</v>
      </c>
      <c r="BC13">
        <v>0</v>
      </c>
    </row>
    <row r="14" spans="1:55" x14ac:dyDescent="0.3">
      <c r="A14">
        <v>6</v>
      </c>
      <c r="B14" t="s">
        <v>80</v>
      </c>
      <c r="C14" t="s">
        <v>126</v>
      </c>
      <c r="D14" t="s">
        <v>130</v>
      </c>
      <c r="E14" t="s">
        <v>140</v>
      </c>
      <c r="F14" t="s">
        <v>161</v>
      </c>
      <c r="G14">
        <v>93</v>
      </c>
      <c r="H14">
        <v>0</v>
      </c>
      <c r="I14" t="s">
        <v>181</v>
      </c>
      <c r="J14" t="s">
        <v>230</v>
      </c>
      <c r="L14">
        <v>2001</v>
      </c>
      <c r="M14">
        <v>2012</v>
      </c>
      <c r="N14">
        <v>15</v>
      </c>
      <c r="O14">
        <v>64</v>
      </c>
      <c r="P14">
        <v>39.6</v>
      </c>
      <c r="R14" t="s">
        <v>233</v>
      </c>
      <c r="S14">
        <v>3.8</v>
      </c>
      <c r="T14">
        <v>3.4</v>
      </c>
      <c r="U14">
        <v>4.2</v>
      </c>
      <c r="V14">
        <v>0.21046597701654751</v>
      </c>
      <c r="W14">
        <v>390</v>
      </c>
      <c r="X14">
        <v>8953</v>
      </c>
      <c r="Y14" t="s">
        <v>236</v>
      </c>
      <c r="Z14">
        <v>1</v>
      </c>
      <c r="AA14">
        <v>0</v>
      </c>
      <c r="AB14">
        <v>0</v>
      </c>
      <c r="AC14">
        <v>95</v>
      </c>
      <c r="AD14" t="s">
        <v>238</v>
      </c>
      <c r="AE14" t="s">
        <v>240</v>
      </c>
      <c r="AF14" t="s">
        <v>246</v>
      </c>
      <c r="AH14" t="s">
        <v>273</v>
      </c>
      <c r="AI14" t="s">
        <v>262</v>
      </c>
      <c r="AJ14" t="s">
        <v>310</v>
      </c>
      <c r="AK14" t="s">
        <v>331</v>
      </c>
      <c r="AL14" t="s">
        <v>361</v>
      </c>
      <c r="AM14" t="s">
        <v>334</v>
      </c>
      <c r="AN14">
        <v>1</v>
      </c>
      <c r="AO14">
        <v>0</v>
      </c>
      <c r="AP14">
        <v>0</v>
      </c>
      <c r="AQ14">
        <v>0</v>
      </c>
      <c r="AR14">
        <v>0</v>
      </c>
      <c r="AS14">
        <v>1</v>
      </c>
      <c r="AT14">
        <v>0</v>
      </c>
      <c r="AU14">
        <v>0</v>
      </c>
      <c r="AV14">
        <v>0</v>
      </c>
      <c r="AW14">
        <v>0</v>
      </c>
      <c r="AX14">
        <v>0</v>
      </c>
      <c r="AY14">
        <v>0</v>
      </c>
      <c r="AZ14">
        <v>0</v>
      </c>
      <c r="BA14">
        <v>0</v>
      </c>
      <c r="BB14">
        <v>0</v>
      </c>
      <c r="BC14">
        <v>0</v>
      </c>
    </row>
    <row r="15" spans="1:55" x14ac:dyDescent="0.3">
      <c r="A15">
        <v>7</v>
      </c>
      <c r="B15" t="s">
        <v>81</v>
      </c>
      <c r="C15" t="s">
        <v>102</v>
      </c>
      <c r="D15" t="s">
        <v>126</v>
      </c>
      <c r="E15" t="s">
        <v>140</v>
      </c>
      <c r="F15" t="s">
        <v>161</v>
      </c>
      <c r="G15">
        <v>93</v>
      </c>
      <c r="H15">
        <v>0</v>
      </c>
      <c r="I15" t="s">
        <v>181</v>
      </c>
      <c r="J15" t="s">
        <v>231</v>
      </c>
      <c r="L15">
        <v>1987</v>
      </c>
      <c r="M15">
        <v>2011</v>
      </c>
      <c r="N15">
        <v>15</v>
      </c>
      <c r="O15">
        <v>64</v>
      </c>
      <c r="P15">
        <v>37</v>
      </c>
      <c r="R15" t="s">
        <v>233</v>
      </c>
      <c r="S15">
        <v>6.1</v>
      </c>
      <c r="T15">
        <v>5.8</v>
      </c>
      <c r="U15">
        <v>6.4</v>
      </c>
      <c r="V15">
        <v>0.15512730421496479</v>
      </c>
      <c r="W15">
        <v>1498</v>
      </c>
      <c r="X15">
        <v>13740</v>
      </c>
      <c r="Y15" t="s">
        <v>236</v>
      </c>
      <c r="Z15">
        <v>1</v>
      </c>
      <c r="AA15">
        <v>0</v>
      </c>
      <c r="AB15">
        <v>0</v>
      </c>
      <c r="AC15">
        <v>95</v>
      </c>
      <c r="AD15" t="s">
        <v>238</v>
      </c>
      <c r="AE15" t="s">
        <v>240</v>
      </c>
      <c r="AF15" t="s">
        <v>246</v>
      </c>
      <c r="AH15" t="s">
        <v>274</v>
      </c>
      <c r="AI15" t="s">
        <v>262</v>
      </c>
      <c r="AJ15" t="s">
        <v>311</v>
      </c>
      <c r="AK15" t="s">
        <v>7</v>
      </c>
      <c r="AL15" t="s">
        <v>361</v>
      </c>
      <c r="AM15" t="s">
        <v>333</v>
      </c>
      <c r="AN15">
        <v>1</v>
      </c>
      <c r="AO15">
        <v>0</v>
      </c>
      <c r="AP15">
        <v>0</v>
      </c>
      <c r="AQ15">
        <v>0</v>
      </c>
      <c r="AR15">
        <v>1</v>
      </c>
      <c r="AS15">
        <v>0</v>
      </c>
      <c r="AT15">
        <v>0</v>
      </c>
      <c r="AU15">
        <v>0</v>
      </c>
      <c r="AV15">
        <v>0</v>
      </c>
      <c r="AW15">
        <v>0</v>
      </c>
      <c r="AX15">
        <v>0</v>
      </c>
      <c r="AY15">
        <v>0</v>
      </c>
      <c r="AZ15">
        <v>0</v>
      </c>
      <c r="BA15">
        <v>0</v>
      </c>
      <c r="BB15">
        <v>0</v>
      </c>
      <c r="BC15">
        <v>0</v>
      </c>
    </row>
    <row r="16" spans="1:55" x14ac:dyDescent="0.3">
      <c r="A16">
        <v>7</v>
      </c>
      <c r="B16" t="s">
        <v>81</v>
      </c>
      <c r="C16" t="s">
        <v>102</v>
      </c>
      <c r="D16" t="s">
        <v>102</v>
      </c>
      <c r="E16" t="s">
        <v>140</v>
      </c>
      <c r="F16" t="s">
        <v>161</v>
      </c>
      <c r="G16">
        <v>93</v>
      </c>
      <c r="H16">
        <v>0</v>
      </c>
      <c r="I16" t="s">
        <v>181</v>
      </c>
      <c r="J16" t="s">
        <v>230</v>
      </c>
      <c r="L16">
        <v>1987</v>
      </c>
      <c r="M16">
        <v>2011</v>
      </c>
      <c r="N16">
        <v>15</v>
      </c>
      <c r="O16">
        <v>64</v>
      </c>
      <c r="P16">
        <v>38.6</v>
      </c>
      <c r="R16" t="s">
        <v>233</v>
      </c>
      <c r="S16">
        <v>5</v>
      </c>
      <c r="T16">
        <v>4.7</v>
      </c>
      <c r="U16">
        <v>5.2</v>
      </c>
      <c r="V16">
        <v>0.13062873483473239</v>
      </c>
      <c r="W16">
        <v>1793</v>
      </c>
      <c r="X16">
        <v>9598</v>
      </c>
      <c r="Y16" t="s">
        <v>236</v>
      </c>
      <c r="Z16">
        <v>1</v>
      </c>
      <c r="AA16">
        <v>0</v>
      </c>
      <c r="AB16">
        <v>0</v>
      </c>
      <c r="AC16">
        <v>95</v>
      </c>
      <c r="AD16" t="s">
        <v>238</v>
      </c>
      <c r="AE16" t="s">
        <v>240</v>
      </c>
      <c r="AF16" t="s">
        <v>246</v>
      </c>
      <c r="AH16" t="s">
        <v>274</v>
      </c>
      <c r="AI16" t="s">
        <v>262</v>
      </c>
      <c r="AJ16" t="s">
        <v>311</v>
      </c>
      <c r="AK16" t="s">
        <v>7</v>
      </c>
      <c r="AL16" t="s">
        <v>361</v>
      </c>
      <c r="AM16" t="s">
        <v>333</v>
      </c>
      <c r="AN16">
        <v>1</v>
      </c>
      <c r="AO16">
        <v>0</v>
      </c>
      <c r="AP16">
        <v>0</v>
      </c>
      <c r="AQ16">
        <v>0</v>
      </c>
      <c r="AR16">
        <v>1</v>
      </c>
      <c r="AS16">
        <v>0</v>
      </c>
      <c r="AT16">
        <v>0</v>
      </c>
      <c r="AU16">
        <v>0</v>
      </c>
      <c r="AV16">
        <v>0</v>
      </c>
      <c r="AW16">
        <v>0</v>
      </c>
      <c r="AX16">
        <v>0</v>
      </c>
      <c r="AY16">
        <v>0</v>
      </c>
      <c r="AZ16">
        <v>0</v>
      </c>
      <c r="BA16">
        <v>0</v>
      </c>
      <c r="BB16">
        <v>0</v>
      </c>
      <c r="BC16">
        <v>0</v>
      </c>
    </row>
    <row r="17" spans="1:55" x14ac:dyDescent="0.3">
      <c r="A17">
        <v>8</v>
      </c>
      <c r="B17" t="s">
        <v>93</v>
      </c>
      <c r="C17" t="s">
        <v>104</v>
      </c>
      <c r="D17" t="s">
        <v>129</v>
      </c>
      <c r="E17" t="s">
        <v>141</v>
      </c>
      <c r="F17" t="s">
        <v>160</v>
      </c>
      <c r="G17">
        <v>538</v>
      </c>
      <c r="H17">
        <v>1</v>
      </c>
      <c r="I17" t="s">
        <v>216</v>
      </c>
      <c r="J17" t="s">
        <v>230</v>
      </c>
      <c r="L17">
        <v>1972</v>
      </c>
      <c r="M17">
        <v>1985</v>
      </c>
      <c r="N17">
        <v>15</v>
      </c>
      <c r="O17">
        <v>39</v>
      </c>
      <c r="R17" t="s">
        <v>233</v>
      </c>
      <c r="S17">
        <v>3.87</v>
      </c>
      <c r="T17">
        <v>1.581103824179829</v>
      </c>
      <c r="U17">
        <v>6.1588961758201712</v>
      </c>
      <c r="V17">
        <v>1.16782563040683</v>
      </c>
      <c r="W17">
        <v>11</v>
      </c>
      <c r="X17">
        <v>429</v>
      </c>
      <c r="Y17" t="s">
        <v>236</v>
      </c>
      <c r="Z17">
        <v>1</v>
      </c>
      <c r="AA17">
        <v>0</v>
      </c>
      <c r="AB17">
        <v>0</v>
      </c>
      <c r="AC17">
        <v>95</v>
      </c>
      <c r="AD17" t="s">
        <v>239</v>
      </c>
      <c r="AE17" t="s">
        <v>240</v>
      </c>
      <c r="AF17" t="s">
        <v>246</v>
      </c>
      <c r="AH17" t="s">
        <v>283</v>
      </c>
      <c r="AI17" t="s">
        <v>262</v>
      </c>
      <c r="AJ17" t="s">
        <v>319</v>
      </c>
      <c r="AK17" t="s">
        <v>327</v>
      </c>
      <c r="AL17" t="s">
        <v>363</v>
      </c>
      <c r="AM17" t="s">
        <v>333</v>
      </c>
      <c r="AN17">
        <v>1</v>
      </c>
      <c r="AO17">
        <v>0</v>
      </c>
      <c r="AP17">
        <v>0</v>
      </c>
      <c r="AQ17">
        <v>0</v>
      </c>
      <c r="AR17">
        <v>1</v>
      </c>
      <c r="AS17">
        <v>0</v>
      </c>
      <c r="AT17">
        <v>0</v>
      </c>
      <c r="AU17">
        <v>0</v>
      </c>
      <c r="AV17">
        <v>0</v>
      </c>
      <c r="AW17">
        <v>0</v>
      </c>
      <c r="AX17">
        <v>0</v>
      </c>
      <c r="AY17">
        <v>0</v>
      </c>
      <c r="AZ17">
        <v>0</v>
      </c>
      <c r="BA17">
        <v>0</v>
      </c>
      <c r="BB17">
        <v>0</v>
      </c>
      <c r="BC17">
        <v>0</v>
      </c>
    </row>
    <row r="18" spans="1:55" x14ac:dyDescent="0.3">
      <c r="A18">
        <v>8</v>
      </c>
      <c r="B18" t="s">
        <v>93</v>
      </c>
      <c r="C18" t="s">
        <v>104</v>
      </c>
      <c r="D18" t="s">
        <v>129</v>
      </c>
      <c r="E18" t="s">
        <v>141</v>
      </c>
      <c r="F18" t="s">
        <v>160</v>
      </c>
      <c r="G18">
        <v>538</v>
      </c>
      <c r="H18">
        <v>1</v>
      </c>
      <c r="I18" t="s">
        <v>216</v>
      </c>
      <c r="J18" t="s">
        <v>230</v>
      </c>
      <c r="L18">
        <v>1972</v>
      </c>
      <c r="M18">
        <v>1985</v>
      </c>
      <c r="N18">
        <v>40</v>
      </c>
      <c r="O18">
        <v>69</v>
      </c>
      <c r="R18" t="s">
        <v>233</v>
      </c>
      <c r="S18">
        <v>2.54</v>
      </c>
      <c r="T18">
        <v>0.66116765154484436</v>
      </c>
      <c r="U18">
        <v>4.4188323484551546</v>
      </c>
      <c r="V18">
        <v>0.95860554748717097</v>
      </c>
      <c r="W18">
        <v>7</v>
      </c>
      <c r="X18">
        <v>2.7559055118110241</v>
      </c>
      <c r="Y18" t="s">
        <v>236</v>
      </c>
      <c r="Z18">
        <v>1</v>
      </c>
      <c r="AA18">
        <v>0</v>
      </c>
      <c r="AB18">
        <v>0</v>
      </c>
      <c r="AC18">
        <v>95</v>
      </c>
      <c r="AD18" t="s">
        <v>239</v>
      </c>
      <c r="AE18" t="s">
        <v>240</v>
      </c>
      <c r="AF18" t="s">
        <v>246</v>
      </c>
      <c r="AH18" t="s">
        <v>283</v>
      </c>
      <c r="AI18" t="s">
        <v>262</v>
      </c>
      <c r="AJ18" t="s">
        <v>319</v>
      </c>
      <c r="AK18" t="s">
        <v>327</v>
      </c>
      <c r="AL18" t="s">
        <v>363</v>
      </c>
      <c r="AM18" t="s">
        <v>333</v>
      </c>
      <c r="AN18">
        <v>1</v>
      </c>
      <c r="AO18">
        <v>0</v>
      </c>
      <c r="AP18">
        <v>0</v>
      </c>
      <c r="AQ18">
        <v>0</v>
      </c>
      <c r="AR18">
        <v>1</v>
      </c>
      <c r="AS18">
        <v>0</v>
      </c>
      <c r="AT18">
        <v>0</v>
      </c>
      <c r="AU18">
        <v>0</v>
      </c>
      <c r="AV18">
        <v>0</v>
      </c>
      <c r="AW18">
        <v>0</v>
      </c>
      <c r="AX18">
        <v>0</v>
      </c>
      <c r="AY18">
        <v>0</v>
      </c>
      <c r="AZ18">
        <v>0</v>
      </c>
      <c r="BA18">
        <v>0</v>
      </c>
      <c r="BB18">
        <v>0</v>
      </c>
      <c r="BC18">
        <v>0</v>
      </c>
    </row>
    <row r="19" spans="1:55" x14ac:dyDescent="0.3">
      <c r="A19">
        <v>8</v>
      </c>
      <c r="B19" t="s">
        <v>93</v>
      </c>
      <c r="C19" t="s">
        <v>104</v>
      </c>
      <c r="D19" t="s">
        <v>129</v>
      </c>
      <c r="E19" t="s">
        <v>141</v>
      </c>
      <c r="F19" t="s">
        <v>160</v>
      </c>
      <c r="G19">
        <v>538</v>
      </c>
      <c r="H19">
        <v>1</v>
      </c>
      <c r="I19" t="s">
        <v>216</v>
      </c>
      <c r="J19" t="s">
        <v>231</v>
      </c>
      <c r="L19">
        <v>1972</v>
      </c>
      <c r="M19">
        <v>1985</v>
      </c>
      <c r="N19">
        <v>15</v>
      </c>
      <c r="O19">
        <v>39</v>
      </c>
      <c r="R19" t="s">
        <v>233</v>
      </c>
      <c r="S19">
        <v>2.21</v>
      </c>
      <c r="T19">
        <v>4.4293939734742598E-2</v>
      </c>
      <c r="U19">
        <v>4.3757060602652569</v>
      </c>
      <c r="V19">
        <v>1.10497237569061</v>
      </c>
      <c r="W19">
        <v>4</v>
      </c>
      <c r="X19">
        <v>1.809954751131222</v>
      </c>
      <c r="Y19" t="s">
        <v>236</v>
      </c>
      <c r="Z19">
        <v>1</v>
      </c>
      <c r="AA19">
        <v>0</v>
      </c>
      <c r="AB19">
        <v>0</v>
      </c>
      <c r="AC19">
        <v>95</v>
      </c>
      <c r="AD19" t="s">
        <v>239</v>
      </c>
      <c r="AE19" t="s">
        <v>240</v>
      </c>
      <c r="AF19" t="s">
        <v>246</v>
      </c>
      <c r="AH19" t="s">
        <v>283</v>
      </c>
      <c r="AI19" t="s">
        <v>262</v>
      </c>
      <c r="AJ19" t="s">
        <v>319</v>
      </c>
      <c r="AK19" t="s">
        <v>327</v>
      </c>
      <c r="AL19" t="s">
        <v>363</v>
      </c>
      <c r="AM19" t="s">
        <v>333</v>
      </c>
      <c r="AN19">
        <v>1</v>
      </c>
      <c r="AO19">
        <v>0</v>
      </c>
      <c r="AP19">
        <v>0</v>
      </c>
      <c r="AQ19">
        <v>0</v>
      </c>
      <c r="AR19">
        <v>1</v>
      </c>
      <c r="AS19">
        <v>0</v>
      </c>
      <c r="AT19">
        <v>0</v>
      </c>
      <c r="AU19">
        <v>0</v>
      </c>
      <c r="AV19">
        <v>0</v>
      </c>
      <c r="AW19">
        <v>0</v>
      </c>
      <c r="AX19">
        <v>0</v>
      </c>
      <c r="AY19">
        <v>0</v>
      </c>
      <c r="AZ19">
        <v>0</v>
      </c>
      <c r="BA19">
        <v>0</v>
      </c>
      <c r="BB19">
        <v>0</v>
      </c>
      <c r="BC19">
        <v>0</v>
      </c>
    </row>
    <row r="20" spans="1:55" x14ac:dyDescent="0.3">
      <c r="A20">
        <v>8</v>
      </c>
      <c r="B20" t="s">
        <v>93</v>
      </c>
      <c r="C20" t="s">
        <v>104</v>
      </c>
      <c r="D20" t="s">
        <v>129</v>
      </c>
      <c r="E20" t="s">
        <v>141</v>
      </c>
      <c r="F20" t="s">
        <v>160</v>
      </c>
      <c r="G20">
        <v>538</v>
      </c>
      <c r="H20">
        <v>1</v>
      </c>
      <c r="I20" t="s">
        <v>216</v>
      </c>
      <c r="J20" t="s">
        <v>231</v>
      </c>
      <c r="L20">
        <v>1972</v>
      </c>
      <c r="M20">
        <v>1985</v>
      </c>
      <c r="N20">
        <v>40</v>
      </c>
      <c r="O20">
        <v>69</v>
      </c>
      <c r="R20" t="s">
        <v>233</v>
      </c>
      <c r="S20">
        <v>1.95</v>
      </c>
      <c r="T20">
        <v>0.2380419129363649</v>
      </c>
      <c r="U20">
        <v>3.6619580870636348</v>
      </c>
      <c r="V20">
        <v>0.873464053710855</v>
      </c>
      <c r="W20">
        <v>5</v>
      </c>
      <c r="X20">
        <v>2.5641025641025639</v>
      </c>
      <c r="Y20" t="s">
        <v>236</v>
      </c>
      <c r="Z20">
        <v>1</v>
      </c>
      <c r="AA20">
        <v>0</v>
      </c>
      <c r="AB20">
        <v>0</v>
      </c>
      <c r="AC20">
        <v>95</v>
      </c>
      <c r="AD20" t="s">
        <v>239</v>
      </c>
      <c r="AE20" t="s">
        <v>240</v>
      </c>
      <c r="AF20" t="s">
        <v>246</v>
      </c>
      <c r="AH20" t="s">
        <v>283</v>
      </c>
      <c r="AI20" t="s">
        <v>262</v>
      </c>
      <c r="AJ20" t="s">
        <v>319</v>
      </c>
      <c r="AK20" t="s">
        <v>327</v>
      </c>
      <c r="AL20" t="s">
        <v>363</v>
      </c>
      <c r="AM20" t="s">
        <v>333</v>
      </c>
      <c r="AN20">
        <v>1</v>
      </c>
      <c r="AO20">
        <v>0</v>
      </c>
      <c r="AP20">
        <v>0</v>
      </c>
      <c r="AQ20">
        <v>0</v>
      </c>
      <c r="AR20">
        <v>1</v>
      </c>
      <c r="AS20">
        <v>0</v>
      </c>
      <c r="AT20">
        <v>0</v>
      </c>
      <c r="AU20">
        <v>0</v>
      </c>
      <c r="AV20">
        <v>0</v>
      </c>
      <c r="AW20">
        <v>0</v>
      </c>
      <c r="AX20">
        <v>0</v>
      </c>
      <c r="AY20">
        <v>0</v>
      </c>
      <c r="AZ20">
        <v>0</v>
      </c>
      <c r="BA20">
        <v>0</v>
      </c>
      <c r="BB20">
        <v>0</v>
      </c>
      <c r="BC20">
        <v>0</v>
      </c>
    </row>
    <row r="21" spans="1:55" x14ac:dyDescent="0.3">
      <c r="A21">
        <v>9</v>
      </c>
      <c r="B21" t="s">
        <v>100</v>
      </c>
      <c r="E21" t="s">
        <v>138</v>
      </c>
      <c r="F21" t="s">
        <v>169</v>
      </c>
      <c r="G21">
        <v>78</v>
      </c>
      <c r="H21">
        <v>1</v>
      </c>
      <c r="I21" t="s">
        <v>223</v>
      </c>
      <c r="J21" t="s">
        <v>229</v>
      </c>
      <c r="L21">
        <v>2005</v>
      </c>
      <c r="M21">
        <v>2012</v>
      </c>
      <c r="N21">
        <v>28</v>
      </c>
      <c r="O21">
        <v>49</v>
      </c>
      <c r="R21" t="s">
        <v>235</v>
      </c>
      <c r="S21">
        <v>6.4554678452610204E-2</v>
      </c>
      <c r="T21">
        <v>1.1165612139123411E-2</v>
      </c>
      <c r="U21">
        <v>0.11794374476609699</v>
      </c>
      <c r="V21">
        <v>2.7239820085783691E-2</v>
      </c>
      <c r="W21">
        <v>24</v>
      </c>
      <c r="X21">
        <v>87</v>
      </c>
      <c r="Y21" t="s">
        <v>237</v>
      </c>
      <c r="Z21">
        <v>1</v>
      </c>
      <c r="AA21">
        <v>0</v>
      </c>
      <c r="AB21">
        <v>0</v>
      </c>
      <c r="AC21">
        <v>95</v>
      </c>
      <c r="AD21" t="s">
        <v>239</v>
      </c>
      <c r="AE21" t="s">
        <v>240</v>
      </c>
      <c r="AF21" t="s">
        <v>246</v>
      </c>
      <c r="AG21">
        <v>0.39700000000000002</v>
      </c>
      <c r="AH21" t="s">
        <v>288</v>
      </c>
      <c r="AI21" t="s">
        <v>262</v>
      </c>
      <c r="AJ21" t="s">
        <v>322</v>
      </c>
      <c r="AK21" t="s">
        <v>323</v>
      </c>
      <c r="AL21" t="s">
        <v>373</v>
      </c>
      <c r="AM21" t="s">
        <v>364</v>
      </c>
      <c r="AN21">
        <v>1</v>
      </c>
      <c r="AO21">
        <v>0</v>
      </c>
      <c r="AP21">
        <v>0</v>
      </c>
      <c r="AQ21">
        <v>0</v>
      </c>
      <c r="AR21">
        <v>0</v>
      </c>
      <c r="AS21">
        <v>0</v>
      </c>
      <c r="AT21">
        <v>0</v>
      </c>
      <c r="AU21">
        <v>0</v>
      </c>
      <c r="AV21">
        <v>0</v>
      </c>
      <c r="AW21">
        <v>0</v>
      </c>
      <c r="AX21">
        <v>0</v>
      </c>
      <c r="AY21">
        <v>0</v>
      </c>
      <c r="AZ21">
        <v>0</v>
      </c>
      <c r="BA21">
        <v>0</v>
      </c>
      <c r="BB21">
        <v>0</v>
      </c>
      <c r="BC21">
        <v>0</v>
      </c>
    </row>
    <row r="22" spans="1:55" x14ac:dyDescent="0.3">
      <c r="A22">
        <v>10</v>
      </c>
      <c r="B22" t="s">
        <v>393</v>
      </c>
      <c r="C22">
        <v>7</v>
      </c>
      <c r="D22">
        <v>1</v>
      </c>
      <c r="E22" t="s">
        <v>138</v>
      </c>
      <c r="F22" t="s">
        <v>144</v>
      </c>
      <c r="G22">
        <v>71</v>
      </c>
      <c r="H22">
        <v>1</v>
      </c>
      <c r="I22" t="s">
        <v>394</v>
      </c>
      <c r="J22" t="s">
        <v>229</v>
      </c>
      <c r="L22">
        <v>1998</v>
      </c>
      <c r="M22">
        <v>2001</v>
      </c>
      <c r="N22">
        <v>15</v>
      </c>
      <c r="O22">
        <v>20</v>
      </c>
      <c r="R22" t="s">
        <v>395</v>
      </c>
      <c r="S22">
        <v>0.84681300000000004</v>
      </c>
      <c r="T22">
        <v>0.74630624031802439</v>
      </c>
      <c r="U22">
        <v>0.912186789438585</v>
      </c>
      <c r="V22">
        <v>4.4575021298986273E-2</v>
      </c>
      <c r="W22">
        <v>53</v>
      </c>
      <c r="X22">
        <v>72</v>
      </c>
      <c r="Y22" t="s">
        <v>237</v>
      </c>
      <c r="Z22">
        <v>1</v>
      </c>
      <c r="AA22">
        <v>0</v>
      </c>
      <c r="AB22">
        <v>1</v>
      </c>
      <c r="AC22">
        <v>95</v>
      </c>
      <c r="AD22" t="s">
        <v>239</v>
      </c>
      <c r="AE22" t="s">
        <v>240</v>
      </c>
      <c r="AF22" t="s">
        <v>246</v>
      </c>
      <c r="AH22" t="s">
        <v>271</v>
      </c>
      <c r="AI22" t="s">
        <v>262</v>
      </c>
      <c r="AJ22" t="s">
        <v>291</v>
      </c>
      <c r="AK22" t="s">
        <v>323</v>
      </c>
      <c r="AL22" t="s">
        <v>396</v>
      </c>
      <c r="AM22" t="s">
        <v>397</v>
      </c>
      <c r="AN22">
        <v>0</v>
      </c>
      <c r="AO22">
        <v>0</v>
      </c>
      <c r="AP22">
        <v>0</v>
      </c>
      <c r="AQ22">
        <v>0</v>
      </c>
      <c r="AR22">
        <v>0</v>
      </c>
      <c r="AS22">
        <v>1</v>
      </c>
      <c r="AT22">
        <v>0</v>
      </c>
      <c r="AU22">
        <v>0</v>
      </c>
      <c r="AV22">
        <v>0</v>
      </c>
      <c r="AW22">
        <v>0</v>
      </c>
      <c r="AX22">
        <v>0</v>
      </c>
      <c r="AY22">
        <v>0</v>
      </c>
      <c r="AZ22">
        <v>0</v>
      </c>
      <c r="BA22">
        <v>0</v>
      </c>
      <c r="BB22">
        <v>0</v>
      </c>
      <c r="BC22">
        <v>0</v>
      </c>
    </row>
    <row r="23" spans="1:55" x14ac:dyDescent="0.3">
      <c r="A23">
        <v>11</v>
      </c>
      <c r="B23" t="s">
        <v>76</v>
      </c>
      <c r="C23" t="s">
        <v>126</v>
      </c>
      <c r="D23" t="s">
        <v>130</v>
      </c>
      <c r="E23" t="s">
        <v>137</v>
      </c>
      <c r="F23" t="s">
        <v>165</v>
      </c>
      <c r="G23">
        <v>492</v>
      </c>
      <c r="H23">
        <v>0</v>
      </c>
      <c r="I23" t="s">
        <v>203</v>
      </c>
      <c r="J23" t="s">
        <v>229</v>
      </c>
      <c r="K23">
        <f>(72+1400)/(73+72+1047+1400)</f>
        <v>0.5679012345679012</v>
      </c>
      <c r="L23">
        <v>2004</v>
      </c>
      <c r="M23">
        <v>2006</v>
      </c>
      <c r="N23">
        <v>18</v>
      </c>
      <c r="O23">
        <v>18</v>
      </c>
      <c r="R23" t="s">
        <v>232</v>
      </c>
      <c r="S23">
        <v>1.4132851640421801E-2</v>
      </c>
      <c r="T23">
        <v>1.1518444408008401E-2</v>
      </c>
      <c r="U23">
        <v>1.7330262108119169E-2</v>
      </c>
      <c r="V23">
        <v>1.4835238571987281E-3</v>
      </c>
      <c r="W23">
        <v>90.436117647058794</v>
      </c>
      <c r="X23">
        <v>6399</v>
      </c>
      <c r="Y23" t="s">
        <v>236</v>
      </c>
      <c r="Z23">
        <v>1</v>
      </c>
      <c r="AA23">
        <v>0</v>
      </c>
      <c r="AB23">
        <v>0</v>
      </c>
      <c r="AC23">
        <v>95</v>
      </c>
      <c r="AD23" t="s">
        <v>239</v>
      </c>
      <c r="AE23" t="s">
        <v>240</v>
      </c>
      <c r="AF23" t="s">
        <v>245</v>
      </c>
      <c r="AH23" t="s">
        <v>262</v>
      </c>
      <c r="AI23" t="s">
        <v>262</v>
      </c>
      <c r="AJ23" t="s">
        <v>306</v>
      </c>
      <c r="AK23" t="s">
        <v>323</v>
      </c>
      <c r="AL23" t="s">
        <v>356</v>
      </c>
      <c r="AM23" t="s">
        <v>383</v>
      </c>
      <c r="AN23">
        <v>1</v>
      </c>
      <c r="AO23">
        <v>0</v>
      </c>
      <c r="AP23">
        <v>0</v>
      </c>
      <c r="AQ23">
        <v>0</v>
      </c>
      <c r="AR23">
        <v>0</v>
      </c>
      <c r="AS23">
        <v>0</v>
      </c>
      <c r="AT23">
        <v>0</v>
      </c>
      <c r="AU23">
        <v>0</v>
      </c>
      <c r="AV23">
        <v>1</v>
      </c>
      <c r="AW23">
        <v>0</v>
      </c>
      <c r="AX23">
        <v>0</v>
      </c>
      <c r="AY23">
        <v>0</v>
      </c>
      <c r="AZ23">
        <v>0</v>
      </c>
      <c r="BA23">
        <v>0</v>
      </c>
      <c r="BB23">
        <v>0</v>
      </c>
      <c r="BC23">
        <v>0</v>
      </c>
    </row>
    <row r="24" spans="1:55" x14ac:dyDescent="0.3">
      <c r="A24">
        <v>12</v>
      </c>
      <c r="B24" t="s">
        <v>50</v>
      </c>
      <c r="C24" t="s">
        <v>103</v>
      </c>
      <c r="D24" t="s">
        <v>102</v>
      </c>
      <c r="E24" t="s">
        <v>137</v>
      </c>
      <c r="F24" t="s">
        <v>143</v>
      </c>
      <c r="G24">
        <v>95</v>
      </c>
      <c r="H24">
        <v>0</v>
      </c>
      <c r="I24" t="s">
        <v>182</v>
      </c>
      <c r="J24" t="s">
        <v>229</v>
      </c>
      <c r="K24">
        <v>0.56699999999999995</v>
      </c>
      <c r="L24">
        <v>2000</v>
      </c>
      <c r="M24">
        <v>2000</v>
      </c>
      <c r="N24">
        <v>16</v>
      </c>
      <c r="O24">
        <v>34</v>
      </c>
      <c r="R24" t="s">
        <v>232</v>
      </c>
      <c r="S24">
        <v>3.4000000000000002E-2</v>
      </c>
      <c r="T24">
        <v>1.4999999999999999E-2</v>
      </c>
      <c r="U24">
        <v>7.1999999999999995E-2</v>
      </c>
      <c r="V24">
        <v>1.938811136313685E-2</v>
      </c>
      <c r="Y24" t="s">
        <v>236</v>
      </c>
      <c r="Z24">
        <v>1</v>
      </c>
      <c r="AA24">
        <v>0</v>
      </c>
      <c r="AB24">
        <v>0</v>
      </c>
      <c r="AC24">
        <v>95</v>
      </c>
      <c r="AD24" t="s">
        <v>238</v>
      </c>
      <c r="AE24" t="s">
        <v>240</v>
      </c>
      <c r="AF24" t="s">
        <v>243</v>
      </c>
      <c r="AG24">
        <v>0.69499999999999995</v>
      </c>
      <c r="AH24" t="s">
        <v>247</v>
      </c>
      <c r="AI24" t="s">
        <v>262</v>
      </c>
      <c r="AJ24" t="s">
        <v>291</v>
      </c>
      <c r="AK24" t="s">
        <v>324</v>
      </c>
      <c r="AL24" t="s">
        <v>336</v>
      </c>
      <c r="AM24" t="s">
        <v>375</v>
      </c>
      <c r="AN24">
        <v>0</v>
      </c>
      <c r="AO24">
        <v>0</v>
      </c>
      <c r="AP24">
        <v>0</v>
      </c>
      <c r="AQ24">
        <v>0</v>
      </c>
      <c r="AR24">
        <v>0</v>
      </c>
      <c r="AS24">
        <v>0</v>
      </c>
      <c r="AT24">
        <v>0</v>
      </c>
      <c r="AU24">
        <v>0</v>
      </c>
      <c r="AV24">
        <v>1</v>
      </c>
      <c r="AW24">
        <v>0</v>
      </c>
      <c r="AX24">
        <v>0</v>
      </c>
      <c r="AY24">
        <v>0</v>
      </c>
      <c r="AZ24">
        <v>0</v>
      </c>
      <c r="BA24">
        <v>0</v>
      </c>
      <c r="BB24">
        <v>0</v>
      </c>
      <c r="BC24">
        <v>1</v>
      </c>
    </row>
    <row r="25" spans="1:55" x14ac:dyDescent="0.3">
      <c r="A25">
        <v>12</v>
      </c>
      <c r="B25" t="s">
        <v>50</v>
      </c>
      <c r="C25" t="s">
        <v>103</v>
      </c>
      <c r="D25" t="s">
        <v>102</v>
      </c>
      <c r="E25" t="s">
        <v>137</v>
      </c>
      <c r="F25" t="s">
        <v>143</v>
      </c>
      <c r="G25">
        <v>95</v>
      </c>
      <c r="H25">
        <v>0</v>
      </c>
      <c r="I25" t="s">
        <v>182</v>
      </c>
      <c r="J25" t="s">
        <v>229</v>
      </c>
      <c r="K25">
        <v>0.56699999999999995</v>
      </c>
      <c r="L25">
        <v>2000</v>
      </c>
      <c r="M25">
        <v>2000</v>
      </c>
      <c r="N25">
        <v>35</v>
      </c>
      <c r="O25">
        <v>54</v>
      </c>
      <c r="R25" t="s">
        <v>232</v>
      </c>
      <c r="S25">
        <v>4.3999999999999997E-2</v>
      </c>
      <c r="T25">
        <v>2.5000000000000001E-2</v>
      </c>
      <c r="U25">
        <v>7.3999999999999996E-2</v>
      </c>
      <c r="V25">
        <v>1.530640370773962E-2</v>
      </c>
      <c r="Y25" t="s">
        <v>236</v>
      </c>
      <c r="Z25">
        <v>1</v>
      </c>
      <c r="AA25">
        <v>0</v>
      </c>
      <c r="AB25">
        <v>0</v>
      </c>
      <c r="AC25">
        <v>95</v>
      </c>
      <c r="AD25" t="s">
        <v>238</v>
      </c>
      <c r="AE25" t="s">
        <v>240</v>
      </c>
      <c r="AF25" t="s">
        <v>243</v>
      </c>
      <c r="AG25">
        <v>0.69499999999999995</v>
      </c>
      <c r="AH25" t="s">
        <v>247</v>
      </c>
      <c r="AI25" t="s">
        <v>262</v>
      </c>
      <c r="AJ25" t="s">
        <v>291</v>
      </c>
      <c r="AK25" t="s">
        <v>324</v>
      </c>
      <c r="AL25" t="s">
        <v>336</v>
      </c>
      <c r="AM25" t="s">
        <v>375</v>
      </c>
      <c r="AN25">
        <v>0</v>
      </c>
      <c r="AO25">
        <v>0</v>
      </c>
      <c r="AP25">
        <v>0</v>
      </c>
      <c r="AQ25">
        <v>0</v>
      </c>
      <c r="AR25">
        <v>0</v>
      </c>
      <c r="AS25">
        <v>0</v>
      </c>
      <c r="AT25">
        <v>0</v>
      </c>
      <c r="AU25">
        <v>0</v>
      </c>
      <c r="AV25">
        <v>1</v>
      </c>
      <c r="AW25">
        <v>0</v>
      </c>
      <c r="AX25">
        <v>0</v>
      </c>
      <c r="AY25">
        <v>0</v>
      </c>
      <c r="AZ25">
        <v>0</v>
      </c>
      <c r="BA25">
        <v>0</v>
      </c>
      <c r="BB25">
        <v>0</v>
      </c>
      <c r="BC25">
        <v>1</v>
      </c>
    </row>
    <row r="26" spans="1:55" x14ac:dyDescent="0.3">
      <c r="A26">
        <v>12</v>
      </c>
      <c r="B26" t="s">
        <v>50</v>
      </c>
      <c r="C26" t="s">
        <v>103</v>
      </c>
      <c r="D26" t="s">
        <v>102</v>
      </c>
      <c r="E26" t="s">
        <v>137</v>
      </c>
      <c r="F26" t="s">
        <v>143</v>
      </c>
      <c r="G26">
        <v>95</v>
      </c>
      <c r="H26">
        <v>0</v>
      </c>
      <c r="I26" t="s">
        <v>182</v>
      </c>
      <c r="J26" t="s">
        <v>229</v>
      </c>
      <c r="K26">
        <v>0.56699999999999995</v>
      </c>
      <c r="L26">
        <v>2000</v>
      </c>
      <c r="M26">
        <v>2000</v>
      </c>
      <c r="N26">
        <v>55</v>
      </c>
      <c r="O26">
        <v>74</v>
      </c>
      <c r="R26" t="s">
        <v>232</v>
      </c>
      <c r="S26">
        <v>5.8000000000000003E-2</v>
      </c>
      <c r="T26">
        <v>2.3E-2</v>
      </c>
      <c r="U26">
        <v>0.13600000000000001</v>
      </c>
      <c r="V26">
        <v>3.9796649640123007E-2</v>
      </c>
      <c r="Y26" t="s">
        <v>236</v>
      </c>
      <c r="Z26">
        <v>1</v>
      </c>
      <c r="AA26">
        <v>0</v>
      </c>
      <c r="AB26">
        <v>0</v>
      </c>
      <c r="AC26">
        <v>95</v>
      </c>
      <c r="AD26" t="s">
        <v>238</v>
      </c>
      <c r="AE26" t="s">
        <v>240</v>
      </c>
      <c r="AF26" t="s">
        <v>243</v>
      </c>
      <c r="AG26">
        <v>0.69499999999999995</v>
      </c>
      <c r="AH26" t="s">
        <v>247</v>
      </c>
      <c r="AI26" t="s">
        <v>262</v>
      </c>
      <c r="AJ26" t="s">
        <v>291</v>
      </c>
      <c r="AK26" t="s">
        <v>324</v>
      </c>
      <c r="AL26" t="s">
        <v>336</v>
      </c>
      <c r="AM26" t="s">
        <v>375</v>
      </c>
      <c r="AN26">
        <v>0</v>
      </c>
      <c r="AO26">
        <v>0</v>
      </c>
      <c r="AP26">
        <v>0</v>
      </c>
      <c r="AQ26">
        <v>0</v>
      </c>
      <c r="AR26">
        <v>0</v>
      </c>
      <c r="AS26">
        <v>0</v>
      </c>
      <c r="AT26">
        <v>0</v>
      </c>
      <c r="AU26">
        <v>0</v>
      </c>
      <c r="AV26">
        <v>1</v>
      </c>
      <c r="AW26">
        <v>0</v>
      </c>
      <c r="AX26">
        <v>0</v>
      </c>
      <c r="AY26">
        <v>0</v>
      </c>
      <c r="AZ26">
        <v>0</v>
      </c>
      <c r="BA26">
        <v>0</v>
      </c>
      <c r="BB26">
        <v>0</v>
      </c>
      <c r="BC26">
        <v>1</v>
      </c>
    </row>
    <row r="27" spans="1:55" x14ac:dyDescent="0.3">
      <c r="A27">
        <v>12</v>
      </c>
      <c r="B27" t="s">
        <v>50</v>
      </c>
      <c r="C27" t="s">
        <v>103</v>
      </c>
      <c r="D27" t="s">
        <v>102</v>
      </c>
      <c r="E27" t="s">
        <v>137</v>
      </c>
      <c r="F27" t="s">
        <v>143</v>
      </c>
      <c r="G27">
        <v>95</v>
      </c>
      <c r="H27">
        <v>0</v>
      </c>
      <c r="I27" t="s">
        <v>182</v>
      </c>
      <c r="J27" t="s">
        <v>230</v>
      </c>
      <c r="L27">
        <v>2000</v>
      </c>
      <c r="M27">
        <v>2000</v>
      </c>
      <c r="N27">
        <v>17</v>
      </c>
      <c r="O27">
        <v>74</v>
      </c>
      <c r="R27" t="s">
        <v>232</v>
      </c>
      <c r="S27">
        <v>5.3999999999999999E-2</v>
      </c>
      <c r="T27">
        <v>3.2000000000000001E-2</v>
      </c>
      <c r="U27">
        <v>9.0999999999999998E-2</v>
      </c>
      <c r="V27">
        <v>1.88778979062122E-2</v>
      </c>
      <c r="Y27" t="s">
        <v>236</v>
      </c>
      <c r="Z27">
        <v>1</v>
      </c>
      <c r="AA27">
        <v>0</v>
      </c>
      <c r="AB27">
        <v>0</v>
      </c>
      <c r="AC27">
        <v>95</v>
      </c>
      <c r="AD27" t="s">
        <v>238</v>
      </c>
      <c r="AE27" t="s">
        <v>240</v>
      </c>
      <c r="AF27" t="s">
        <v>243</v>
      </c>
      <c r="AG27">
        <v>0.69499999999999995</v>
      </c>
      <c r="AH27" t="s">
        <v>247</v>
      </c>
      <c r="AI27" t="s">
        <v>262</v>
      </c>
      <c r="AJ27" t="s">
        <v>291</v>
      </c>
      <c r="AK27" t="s">
        <v>7</v>
      </c>
      <c r="AL27" t="s">
        <v>336</v>
      </c>
      <c r="AM27" t="s">
        <v>375</v>
      </c>
      <c r="AN27">
        <v>0</v>
      </c>
      <c r="AO27">
        <v>0</v>
      </c>
      <c r="AP27">
        <v>0</v>
      </c>
      <c r="AQ27">
        <v>0</v>
      </c>
      <c r="AR27">
        <v>0</v>
      </c>
      <c r="AS27">
        <v>0</v>
      </c>
      <c r="AT27">
        <v>0</v>
      </c>
      <c r="AU27">
        <v>0</v>
      </c>
      <c r="AV27">
        <v>1</v>
      </c>
      <c r="AW27">
        <v>0</v>
      </c>
      <c r="AX27">
        <v>0</v>
      </c>
      <c r="AY27">
        <v>0</v>
      </c>
      <c r="AZ27">
        <v>0</v>
      </c>
      <c r="BA27">
        <v>0</v>
      </c>
      <c r="BB27">
        <v>0</v>
      </c>
      <c r="BC27">
        <v>1</v>
      </c>
    </row>
    <row r="28" spans="1:55" x14ac:dyDescent="0.3">
      <c r="A28">
        <v>12</v>
      </c>
      <c r="B28" t="s">
        <v>50</v>
      </c>
      <c r="C28" t="s">
        <v>103</v>
      </c>
      <c r="D28" t="s">
        <v>102</v>
      </c>
      <c r="E28" t="s">
        <v>137</v>
      </c>
      <c r="F28" t="s">
        <v>143</v>
      </c>
      <c r="G28">
        <v>95</v>
      </c>
      <c r="H28">
        <v>0</v>
      </c>
      <c r="I28" t="s">
        <v>182</v>
      </c>
      <c r="J28" t="s">
        <v>231</v>
      </c>
      <c r="L28">
        <v>2000</v>
      </c>
      <c r="M28">
        <v>2000</v>
      </c>
      <c r="N28">
        <v>17</v>
      </c>
      <c r="O28">
        <v>74</v>
      </c>
      <c r="R28" t="s">
        <v>232</v>
      </c>
      <c r="S28">
        <v>3.4000000000000002E-2</v>
      </c>
      <c r="T28">
        <v>1.7000000000000001E-2</v>
      </c>
      <c r="U28">
        <v>6.7000000000000004E-2</v>
      </c>
      <c r="V28">
        <v>1.683704407851358E-2</v>
      </c>
      <c r="Y28" t="s">
        <v>236</v>
      </c>
      <c r="Z28">
        <v>1</v>
      </c>
      <c r="AA28">
        <v>0</v>
      </c>
      <c r="AB28">
        <v>0</v>
      </c>
      <c r="AC28">
        <v>95</v>
      </c>
      <c r="AD28" t="s">
        <v>238</v>
      </c>
      <c r="AE28" t="s">
        <v>240</v>
      </c>
      <c r="AF28" t="s">
        <v>243</v>
      </c>
      <c r="AG28">
        <v>0.69499999999999995</v>
      </c>
      <c r="AH28" t="s">
        <v>247</v>
      </c>
      <c r="AI28" t="s">
        <v>262</v>
      </c>
      <c r="AJ28" t="s">
        <v>291</v>
      </c>
      <c r="AK28" t="s">
        <v>7</v>
      </c>
      <c r="AL28" t="s">
        <v>336</v>
      </c>
      <c r="AM28" t="s">
        <v>375</v>
      </c>
      <c r="AN28">
        <v>0</v>
      </c>
      <c r="AO28">
        <v>0</v>
      </c>
      <c r="AP28">
        <v>0</v>
      </c>
      <c r="AQ28">
        <v>0</v>
      </c>
      <c r="AR28">
        <v>0</v>
      </c>
      <c r="AS28">
        <v>0</v>
      </c>
      <c r="AT28">
        <v>0</v>
      </c>
      <c r="AU28">
        <v>0</v>
      </c>
      <c r="AV28">
        <v>1</v>
      </c>
      <c r="AW28">
        <v>0</v>
      </c>
      <c r="AX28">
        <v>0</v>
      </c>
      <c r="AY28">
        <v>0</v>
      </c>
      <c r="AZ28">
        <v>0</v>
      </c>
      <c r="BA28">
        <v>0</v>
      </c>
      <c r="BB28">
        <v>0</v>
      </c>
      <c r="BC28">
        <v>1</v>
      </c>
    </row>
    <row r="29" spans="1:55" x14ac:dyDescent="0.3">
      <c r="A29">
        <v>12</v>
      </c>
      <c r="B29" t="s">
        <v>50</v>
      </c>
      <c r="C29" t="s">
        <v>103</v>
      </c>
      <c r="D29" t="s">
        <v>102</v>
      </c>
      <c r="E29" t="s">
        <v>137</v>
      </c>
      <c r="F29" t="s">
        <v>143</v>
      </c>
      <c r="G29">
        <v>95</v>
      </c>
      <c r="H29">
        <v>0</v>
      </c>
      <c r="I29" t="s">
        <v>182</v>
      </c>
      <c r="J29" t="s">
        <v>229</v>
      </c>
      <c r="K29">
        <v>0.56699999999999995</v>
      </c>
      <c r="L29">
        <v>2000</v>
      </c>
      <c r="M29">
        <v>2000</v>
      </c>
      <c r="N29">
        <v>17</v>
      </c>
      <c r="O29">
        <v>74</v>
      </c>
      <c r="R29" t="s">
        <v>232</v>
      </c>
      <c r="S29">
        <v>6.0000000000000001E-3</v>
      </c>
      <c r="T29">
        <v>3.0000000000000001E-3</v>
      </c>
      <c r="U29">
        <v>1.0999999999999999E-2</v>
      </c>
      <c r="V29">
        <v>2.55106728462327E-3</v>
      </c>
      <c r="W29">
        <v>53.316000000000003</v>
      </c>
      <c r="X29">
        <v>8886</v>
      </c>
      <c r="Y29" t="s">
        <v>236</v>
      </c>
      <c r="Z29">
        <v>1</v>
      </c>
      <c r="AA29">
        <v>0</v>
      </c>
      <c r="AB29">
        <v>0</v>
      </c>
      <c r="AC29">
        <v>95</v>
      </c>
      <c r="AD29" t="s">
        <v>238</v>
      </c>
      <c r="AE29" t="s">
        <v>240</v>
      </c>
      <c r="AF29" t="s">
        <v>243</v>
      </c>
      <c r="AG29">
        <v>0.69499999999999995</v>
      </c>
      <c r="AH29" t="s">
        <v>248</v>
      </c>
      <c r="AI29" t="s">
        <v>258</v>
      </c>
      <c r="AJ29" t="s">
        <v>291</v>
      </c>
      <c r="AK29" t="s">
        <v>325</v>
      </c>
      <c r="AL29" t="s">
        <v>336</v>
      </c>
      <c r="AM29" t="s">
        <v>375</v>
      </c>
      <c r="AN29">
        <v>0</v>
      </c>
      <c r="AO29">
        <v>1</v>
      </c>
      <c r="AP29">
        <v>1</v>
      </c>
      <c r="AQ29">
        <v>0</v>
      </c>
      <c r="AR29">
        <v>0</v>
      </c>
      <c r="AS29">
        <v>0</v>
      </c>
      <c r="AT29">
        <v>0</v>
      </c>
      <c r="AU29">
        <v>0</v>
      </c>
      <c r="AV29">
        <v>1</v>
      </c>
      <c r="AW29">
        <v>0</v>
      </c>
      <c r="AX29">
        <v>0</v>
      </c>
      <c r="AY29">
        <v>0</v>
      </c>
      <c r="AZ29">
        <v>0</v>
      </c>
      <c r="BA29">
        <v>1</v>
      </c>
      <c r="BB29">
        <v>0</v>
      </c>
      <c r="BC29">
        <v>0</v>
      </c>
    </row>
    <row r="30" spans="1:55" x14ac:dyDescent="0.3">
      <c r="A30">
        <v>12</v>
      </c>
      <c r="B30" t="s">
        <v>50</v>
      </c>
      <c r="C30" t="s">
        <v>103</v>
      </c>
      <c r="D30" t="s">
        <v>102</v>
      </c>
      <c r="E30" t="s">
        <v>137</v>
      </c>
      <c r="F30" t="s">
        <v>143</v>
      </c>
      <c r="G30">
        <v>95</v>
      </c>
      <c r="H30">
        <v>0</v>
      </c>
      <c r="I30" t="s">
        <v>182</v>
      </c>
      <c r="J30" t="s">
        <v>229</v>
      </c>
      <c r="K30">
        <v>0.56699999999999995</v>
      </c>
      <c r="L30">
        <v>2000</v>
      </c>
      <c r="M30">
        <v>2000</v>
      </c>
      <c r="N30">
        <v>17</v>
      </c>
      <c r="O30">
        <v>74</v>
      </c>
      <c r="R30" t="s">
        <v>232</v>
      </c>
      <c r="S30">
        <v>7.0000000000000001E-3</v>
      </c>
      <c r="T30">
        <v>3.0000000000000001E-3</v>
      </c>
      <c r="U30">
        <v>1.7000000000000001E-2</v>
      </c>
      <c r="V30">
        <v>5.1021345692465409E-3</v>
      </c>
      <c r="W30">
        <v>62.201999999999998</v>
      </c>
      <c r="X30">
        <v>8886</v>
      </c>
      <c r="Y30" t="s">
        <v>236</v>
      </c>
      <c r="Z30">
        <v>1</v>
      </c>
      <c r="AA30">
        <v>0</v>
      </c>
      <c r="AB30">
        <v>0</v>
      </c>
      <c r="AC30">
        <v>95</v>
      </c>
      <c r="AD30" t="s">
        <v>238</v>
      </c>
      <c r="AE30" t="s">
        <v>240</v>
      </c>
      <c r="AF30" t="s">
        <v>243</v>
      </c>
      <c r="AG30">
        <v>0.69499999999999995</v>
      </c>
      <c r="AH30" t="s">
        <v>249</v>
      </c>
      <c r="AI30" t="s">
        <v>253</v>
      </c>
      <c r="AJ30" t="s">
        <v>291</v>
      </c>
      <c r="AK30" t="s">
        <v>325</v>
      </c>
      <c r="AL30" t="s">
        <v>336</v>
      </c>
      <c r="AM30" t="s">
        <v>375</v>
      </c>
      <c r="AN30">
        <v>0</v>
      </c>
      <c r="AO30">
        <v>1</v>
      </c>
      <c r="AP30">
        <v>0</v>
      </c>
      <c r="AQ30">
        <v>1</v>
      </c>
      <c r="AR30">
        <v>0</v>
      </c>
      <c r="AS30">
        <v>0</v>
      </c>
      <c r="AT30">
        <v>0</v>
      </c>
      <c r="AU30">
        <v>0</v>
      </c>
      <c r="AV30">
        <v>1</v>
      </c>
      <c r="AW30">
        <v>0</v>
      </c>
      <c r="AX30">
        <v>0</v>
      </c>
      <c r="AY30">
        <v>0</v>
      </c>
      <c r="AZ30">
        <v>0</v>
      </c>
      <c r="BA30">
        <v>0</v>
      </c>
      <c r="BB30">
        <v>1</v>
      </c>
      <c r="BC30">
        <v>0</v>
      </c>
    </row>
    <row r="31" spans="1:55" x14ac:dyDescent="0.3">
      <c r="A31">
        <v>13</v>
      </c>
      <c r="B31" t="s">
        <v>52</v>
      </c>
      <c r="C31" t="s">
        <v>105</v>
      </c>
      <c r="D31" t="s">
        <v>130</v>
      </c>
      <c r="E31" t="s">
        <v>138</v>
      </c>
      <c r="F31" t="s">
        <v>145</v>
      </c>
      <c r="G31">
        <v>556</v>
      </c>
      <c r="H31">
        <v>1</v>
      </c>
      <c r="I31" t="s">
        <v>184</v>
      </c>
      <c r="J31" t="s">
        <v>229</v>
      </c>
      <c r="L31">
        <v>2005</v>
      </c>
      <c r="M31">
        <v>2010</v>
      </c>
      <c r="N31">
        <v>19</v>
      </c>
      <c r="O31">
        <v>26</v>
      </c>
      <c r="R31" t="s">
        <v>232</v>
      </c>
      <c r="S31">
        <v>2.32113118617439E-2</v>
      </c>
      <c r="T31">
        <v>1.626307376678585E-2</v>
      </c>
      <c r="U31">
        <v>3.3028448204018478E-2</v>
      </c>
      <c r="V31">
        <v>4.2898661595895766E-3</v>
      </c>
      <c r="W31">
        <v>29.547999999999998</v>
      </c>
      <c r="X31">
        <v>1273</v>
      </c>
      <c r="Y31" t="s">
        <v>236</v>
      </c>
      <c r="Z31">
        <v>1</v>
      </c>
      <c r="AA31">
        <v>0</v>
      </c>
      <c r="AB31">
        <v>1</v>
      </c>
      <c r="AC31">
        <v>95</v>
      </c>
      <c r="AD31" t="s">
        <v>239</v>
      </c>
      <c r="AE31" t="s">
        <v>240</v>
      </c>
      <c r="AF31" t="s">
        <v>243</v>
      </c>
      <c r="AH31" t="s">
        <v>251</v>
      </c>
      <c r="AI31" t="s">
        <v>258</v>
      </c>
      <c r="AJ31" t="s">
        <v>292</v>
      </c>
      <c r="AK31" t="s">
        <v>323</v>
      </c>
      <c r="AL31" t="s">
        <v>338</v>
      </c>
      <c r="AM31" t="s">
        <v>375</v>
      </c>
      <c r="AN31">
        <v>0</v>
      </c>
      <c r="AO31">
        <v>1</v>
      </c>
      <c r="AP31">
        <v>1</v>
      </c>
      <c r="AQ31">
        <v>0</v>
      </c>
      <c r="AR31">
        <v>0</v>
      </c>
      <c r="AS31">
        <v>0</v>
      </c>
      <c r="AT31">
        <v>0</v>
      </c>
      <c r="AU31">
        <v>0</v>
      </c>
      <c r="AV31">
        <v>1</v>
      </c>
      <c r="AW31">
        <v>0</v>
      </c>
      <c r="AX31">
        <v>1</v>
      </c>
      <c r="AY31">
        <v>0</v>
      </c>
      <c r="AZ31">
        <v>0</v>
      </c>
      <c r="BA31">
        <v>0</v>
      </c>
      <c r="BB31">
        <v>0</v>
      </c>
      <c r="BC31">
        <v>0</v>
      </c>
    </row>
    <row r="32" spans="1:55" x14ac:dyDescent="0.3">
      <c r="A32">
        <v>14</v>
      </c>
      <c r="B32" t="s">
        <v>71</v>
      </c>
      <c r="C32" t="s">
        <v>124</v>
      </c>
      <c r="D32" t="s">
        <v>103</v>
      </c>
      <c r="E32" t="s">
        <v>138</v>
      </c>
      <c r="F32" t="s">
        <v>146</v>
      </c>
      <c r="G32">
        <v>555</v>
      </c>
      <c r="H32">
        <v>1</v>
      </c>
      <c r="I32" t="s">
        <v>185</v>
      </c>
      <c r="J32" t="s">
        <v>229</v>
      </c>
      <c r="L32">
        <v>2001</v>
      </c>
      <c r="M32">
        <v>2004</v>
      </c>
      <c r="N32">
        <v>27</v>
      </c>
      <c r="O32">
        <v>39</v>
      </c>
      <c r="R32" t="s">
        <v>232</v>
      </c>
      <c r="S32">
        <v>0.15683229813664601</v>
      </c>
      <c r="T32">
        <v>0.1307913557623176</v>
      </c>
      <c r="U32">
        <v>0.18694295410324749</v>
      </c>
      <c r="V32">
        <v>1.441009706498849E-2</v>
      </c>
      <c r="W32">
        <v>101</v>
      </c>
      <c r="X32">
        <v>644</v>
      </c>
      <c r="Y32" t="s">
        <v>236</v>
      </c>
      <c r="Z32">
        <v>1</v>
      </c>
      <c r="AA32">
        <v>0</v>
      </c>
      <c r="AB32">
        <v>0</v>
      </c>
      <c r="AC32">
        <v>95</v>
      </c>
      <c r="AD32" t="s">
        <v>239</v>
      </c>
      <c r="AE32" t="s">
        <v>240</v>
      </c>
      <c r="AF32" t="s">
        <v>243</v>
      </c>
      <c r="AH32" t="s">
        <v>247</v>
      </c>
      <c r="AI32" t="s">
        <v>262</v>
      </c>
      <c r="AJ32" t="s">
        <v>291</v>
      </c>
      <c r="AK32" t="s">
        <v>323</v>
      </c>
      <c r="AL32" t="s">
        <v>358</v>
      </c>
      <c r="AM32" t="s">
        <v>375</v>
      </c>
      <c r="AN32">
        <v>0</v>
      </c>
      <c r="AO32">
        <v>0</v>
      </c>
      <c r="AP32">
        <v>0</v>
      </c>
      <c r="AQ32">
        <v>0</v>
      </c>
      <c r="AR32">
        <v>0</v>
      </c>
      <c r="AS32">
        <v>0</v>
      </c>
      <c r="AT32">
        <v>0</v>
      </c>
      <c r="AU32">
        <v>0</v>
      </c>
      <c r="AV32">
        <v>0</v>
      </c>
      <c r="AW32">
        <v>0</v>
      </c>
      <c r="AX32">
        <v>0</v>
      </c>
      <c r="AY32">
        <v>0</v>
      </c>
      <c r="AZ32">
        <v>0</v>
      </c>
      <c r="BA32">
        <v>0</v>
      </c>
      <c r="BB32">
        <v>0</v>
      </c>
      <c r="BC32">
        <v>1</v>
      </c>
    </row>
    <row r="33" spans="1:55" x14ac:dyDescent="0.3">
      <c r="A33">
        <v>14</v>
      </c>
      <c r="B33" t="s">
        <v>71</v>
      </c>
      <c r="C33" t="s">
        <v>124</v>
      </c>
      <c r="D33" t="s">
        <v>103</v>
      </c>
      <c r="E33" t="s">
        <v>138</v>
      </c>
      <c r="F33" t="s">
        <v>146</v>
      </c>
      <c r="G33">
        <v>555</v>
      </c>
      <c r="H33">
        <v>1</v>
      </c>
      <c r="I33" t="s">
        <v>185</v>
      </c>
      <c r="J33" t="s">
        <v>229</v>
      </c>
      <c r="L33">
        <v>2001</v>
      </c>
      <c r="M33">
        <v>2004</v>
      </c>
      <c r="N33">
        <v>27</v>
      </c>
      <c r="O33">
        <v>39</v>
      </c>
      <c r="R33" t="s">
        <v>232</v>
      </c>
      <c r="S33">
        <v>1.2E-2</v>
      </c>
      <c r="T33">
        <v>6.0237695939728874E-3</v>
      </c>
      <c r="U33">
        <v>2.376354728417579E-2</v>
      </c>
      <c r="V33">
        <v>4.5525314680278069E-3</v>
      </c>
      <c r="W33">
        <v>8</v>
      </c>
      <c r="X33">
        <v>644</v>
      </c>
      <c r="Y33" t="s">
        <v>236</v>
      </c>
      <c r="Z33">
        <v>1</v>
      </c>
      <c r="AA33">
        <v>0</v>
      </c>
      <c r="AB33">
        <v>0</v>
      </c>
      <c r="AC33">
        <v>95</v>
      </c>
      <c r="AD33" t="s">
        <v>239</v>
      </c>
      <c r="AE33" t="s">
        <v>241</v>
      </c>
      <c r="AF33" t="s">
        <v>243</v>
      </c>
      <c r="AH33" t="s">
        <v>258</v>
      </c>
      <c r="AI33" t="s">
        <v>258</v>
      </c>
      <c r="AJ33" t="s">
        <v>291</v>
      </c>
      <c r="AK33" t="s">
        <v>325</v>
      </c>
      <c r="AL33" t="s">
        <v>358</v>
      </c>
      <c r="AM33" t="s">
        <v>375</v>
      </c>
      <c r="AN33">
        <v>0</v>
      </c>
      <c r="AO33">
        <v>1</v>
      </c>
      <c r="AP33">
        <v>1</v>
      </c>
      <c r="AQ33">
        <v>0</v>
      </c>
      <c r="AR33">
        <v>0</v>
      </c>
      <c r="AS33">
        <v>0</v>
      </c>
      <c r="AT33">
        <v>0</v>
      </c>
      <c r="AU33">
        <v>0</v>
      </c>
      <c r="AV33">
        <v>0</v>
      </c>
      <c r="AW33">
        <v>0</v>
      </c>
      <c r="AX33">
        <v>0</v>
      </c>
      <c r="AY33">
        <v>0</v>
      </c>
      <c r="AZ33">
        <v>0</v>
      </c>
      <c r="BA33">
        <v>1</v>
      </c>
      <c r="BB33">
        <v>0</v>
      </c>
      <c r="BC33">
        <v>0</v>
      </c>
    </row>
    <row r="34" spans="1:55" x14ac:dyDescent="0.3">
      <c r="A34">
        <v>14</v>
      </c>
      <c r="B34" t="s">
        <v>71</v>
      </c>
      <c r="C34" t="s">
        <v>124</v>
      </c>
      <c r="D34" t="s">
        <v>103</v>
      </c>
      <c r="E34" t="s">
        <v>138</v>
      </c>
      <c r="F34" t="s">
        <v>146</v>
      </c>
      <c r="G34">
        <v>555</v>
      </c>
      <c r="H34">
        <v>1</v>
      </c>
      <c r="I34" t="s">
        <v>185</v>
      </c>
      <c r="J34" t="s">
        <v>229</v>
      </c>
      <c r="L34">
        <v>2001</v>
      </c>
      <c r="M34">
        <v>2004</v>
      </c>
      <c r="N34">
        <v>27</v>
      </c>
      <c r="O34">
        <v>39</v>
      </c>
      <c r="R34" t="s">
        <v>232</v>
      </c>
      <c r="S34">
        <v>3.9E-2</v>
      </c>
      <c r="T34">
        <v>2.6577408977220201E-2</v>
      </c>
      <c r="U34">
        <v>5.6889707991686647E-2</v>
      </c>
      <c r="V34">
        <v>7.7789979976940968E-3</v>
      </c>
      <c r="W34">
        <v>25</v>
      </c>
      <c r="X34">
        <v>644</v>
      </c>
      <c r="Y34" t="s">
        <v>236</v>
      </c>
      <c r="Z34">
        <v>1</v>
      </c>
      <c r="AA34">
        <v>0</v>
      </c>
      <c r="AB34">
        <v>0</v>
      </c>
      <c r="AC34">
        <v>95</v>
      </c>
      <c r="AD34" t="s">
        <v>239</v>
      </c>
      <c r="AE34" t="s">
        <v>241</v>
      </c>
      <c r="AF34" t="s">
        <v>243</v>
      </c>
      <c r="AH34" t="s">
        <v>253</v>
      </c>
      <c r="AI34" t="s">
        <v>253</v>
      </c>
      <c r="AJ34" t="s">
        <v>291</v>
      </c>
      <c r="AK34" t="s">
        <v>325</v>
      </c>
      <c r="AL34" t="s">
        <v>358</v>
      </c>
      <c r="AM34" t="s">
        <v>375</v>
      </c>
      <c r="AN34">
        <v>0</v>
      </c>
      <c r="AO34">
        <v>1</v>
      </c>
      <c r="AP34">
        <v>0</v>
      </c>
      <c r="AQ34">
        <v>1</v>
      </c>
      <c r="AR34">
        <v>0</v>
      </c>
      <c r="AS34">
        <v>0</v>
      </c>
      <c r="AT34">
        <v>0</v>
      </c>
      <c r="AU34">
        <v>0</v>
      </c>
      <c r="AV34">
        <v>0</v>
      </c>
      <c r="AW34">
        <v>0</v>
      </c>
      <c r="AX34">
        <v>0</v>
      </c>
      <c r="AY34">
        <v>0</v>
      </c>
      <c r="AZ34">
        <v>0</v>
      </c>
      <c r="BA34">
        <v>0</v>
      </c>
      <c r="BB34">
        <v>1</v>
      </c>
      <c r="BC34">
        <v>0</v>
      </c>
    </row>
    <row r="35" spans="1:55" x14ac:dyDescent="0.3">
      <c r="A35">
        <v>15</v>
      </c>
      <c r="B35" t="s">
        <v>63</v>
      </c>
      <c r="C35" t="s">
        <v>116</v>
      </c>
      <c r="D35" t="s">
        <v>130</v>
      </c>
      <c r="E35" t="s">
        <v>138</v>
      </c>
      <c r="F35" t="s">
        <v>162</v>
      </c>
      <c r="G35">
        <v>527</v>
      </c>
      <c r="H35">
        <v>1</v>
      </c>
      <c r="I35" t="s">
        <v>195</v>
      </c>
      <c r="J35" t="s">
        <v>231</v>
      </c>
      <c r="L35">
        <v>1996</v>
      </c>
      <c r="M35">
        <v>1996</v>
      </c>
      <c r="N35">
        <v>19</v>
      </c>
      <c r="O35">
        <v>22</v>
      </c>
      <c r="R35" t="s">
        <v>232</v>
      </c>
      <c r="S35">
        <v>6.3500000000000001E-2</v>
      </c>
      <c r="T35">
        <v>0</v>
      </c>
      <c r="U35">
        <v>0.1309950516988167</v>
      </c>
      <c r="V35">
        <v>3.4436883652561513E-2</v>
      </c>
      <c r="W35">
        <v>4.0004999999999997</v>
      </c>
      <c r="X35">
        <v>63</v>
      </c>
      <c r="Y35" t="s">
        <v>236</v>
      </c>
      <c r="Z35">
        <v>1</v>
      </c>
      <c r="AA35">
        <v>0</v>
      </c>
      <c r="AB35">
        <v>0</v>
      </c>
      <c r="AC35">
        <v>95</v>
      </c>
      <c r="AD35" t="s">
        <v>239</v>
      </c>
      <c r="AE35" t="s">
        <v>240</v>
      </c>
      <c r="AF35" t="s">
        <v>243</v>
      </c>
      <c r="AH35" t="s">
        <v>270</v>
      </c>
      <c r="AI35" t="s">
        <v>262</v>
      </c>
      <c r="AJ35" t="s">
        <v>296</v>
      </c>
      <c r="AK35" t="s">
        <v>323</v>
      </c>
      <c r="AL35" t="s">
        <v>352</v>
      </c>
      <c r="AM35" t="s">
        <v>379</v>
      </c>
      <c r="AN35">
        <v>0</v>
      </c>
      <c r="AO35">
        <v>0</v>
      </c>
      <c r="AP35">
        <v>0</v>
      </c>
      <c r="AQ35">
        <v>0</v>
      </c>
      <c r="AR35">
        <v>0</v>
      </c>
      <c r="AS35">
        <v>0</v>
      </c>
      <c r="AT35">
        <v>0</v>
      </c>
      <c r="AU35">
        <v>0</v>
      </c>
      <c r="AV35">
        <v>0</v>
      </c>
      <c r="AW35">
        <v>0</v>
      </c>
      <c r="AX35">
        <v>0</v>
      </c>
      <c r="AY35">
        <v>0</v>
      </c>
      <c r="AZ35">
        <v>0</v>
      </c>
      <c r="BA35">
        <v>0</v>
      </c>
      <c r="BB35">
        <v>0</v>
      </c>
      <c r="BC35">
        <v>1</v>
      </c>
    </row>
    <row r="36" spans="1:55" x14ac:dyDescent="0.3">
      <c r="A36">
        <v>16</v>
      </c>
      <c r="B36" t="s">
        <v>94</v>
      </c>
      <c r="C36" t="s">
        <v>102</v>
      </c>
      <c r="D36" t="s">
        <v>136</v>
      </c>
      <c r="E36" t="s">
        <v>140</v>
      </c>
      <c r="F36" t="s">
        <v>157</v>
      </c>
      <c r="G36">
        <v>4624</v>
      </c>
      <c r="H36">
        <v>1</v>
      </c>
      <c r="I36" t="s">
        <v>217</v>
      </c>
      <c r="J36" t="s">
        <v>229</v>
      </c>
      <c r="K36">
        <v>0.52</v>
      </c>
      <c r="L36">
        <v>2019</v>
      </c>
      <c r="M36">
        <v>2019</v>
      </c>
      <c r="N36">
        <v>15</v>
      </c>
      <c r="O36">
        <v>99</v>
      </c>
      <c r="P36">
        <v>44.5</v>
      </c>
      <c r="R36" t="s">
        <v>233</v>
      </c>
      <c r="S36">
        <v>4.13</v>
      </c>
      <c r="T36">
        <v>3.01</v>
      </c>
      <c r="U36">
        <v>5.53</v>
      </c>
      <c r="V36">
        <v>0.6932380503882708</v>
      </c>
      <c r="W36">
        <v>45</v>
      </c>
      <c r="X36">
        <v>10.89588377723971</v>
      </c>
      <c r="Y36" t="s">
        <v>236</v>
      </c>
      <c r="Z36">
        <v>1</v>
      </c>
      <c r="AA36">
        <v>0</v>
      </c>
      <c r="AB36">
        <v>0</v>
      </c>
      <c r="AC36">
        <v>95</v>
      </c>
      <c r="AD36" t="s">
        <v>239</v>
      </c>
      <c r="AE36" t="s">
        <v>241</v>
      </c>
      <c r="AF36" t="s">
        <v>246</v>
      </c>
      <c r="AH36" t="s">
        <v>284</v>
      </c>
      <c r="AI36" t="s">
        <v>262</v>
      </c>
      <c r="AJ36" t="s">
        <v>320</v>
      </c>
      <c r="AK36" t="s">
        <v>332</v>
      </c>
      <c r="AL36" t="s">
        <v>370</v>
      </c>
      <c r="AM36" t="s">
        <v>333</v>
      </c>
      <c r="AN36">
        <v>1</v>
      </c>
      <c r="AO36">
        <v>0</v>
      </c>
      <c r="AP36">
        <v>0</v>
      </c>
      <c r="AQ36">
        <v>0</v>
      </c>
      <c r="AR36">
        <v>1</v>
      </c>
      <c r="AS36">
        <v>0</v>
      </c>
      <c r="AT36">
        <v>0</v>
      </c>
      <c r="AU36">
        <v>1</v>
      </c>
      <c r="AV36">
        <v>0</v>
      </c>
      <c r="AW36">
        <v>0</v>
      </c>
      <c r="AX36">
        <v>0</v>
      </c>
      <c r="AY36">
        <v>0</v>
      </c>
      <c r="AZ36">
        <v>0</v>
      </c>
      <c r="BA36">
        <v>0</v>
      </c>
      <c r="BB36">
        <v>0</v>
      </c>
      <c r="BC36">
        <v>0</v>
      </c>
    </row>
    <row r="37" spans="1:55" x14ac:dyDescent="0.3">
      <c r="A37">
        <v>16</v>
      </c>
      <c r="B37" t="s">
        <v>94</v>
      </c>
      <c r="C37" t="s">
        <v>102</v>
      </c>
      <c r="D37" t="s">
        <v>136</v>
      </c>
      <c r="E37" t="s">
        <v>140</v>
      </c>
      <c r="F37" t="s">
        <v>157</v>
      </c>
      <c r="G37">
        <v>4624</v>
      </c>
      <c r="H37">
        <v>1</v>
      </c>
      <c r="I37" t="s">
        <v>217</v>
      </c>
      <c r="J37" t="s">
        <v>229</v>
      </c>
      <c r="K37">
        <v>0.52</v>
      </c>
      <c r="L37">
        <v>2019</v>
      </c>
      <c r="M37">
        <v>2019</v>
      </c>
      <c r="N37">
        <v>15</v>
      </c>
      <c r="O37">
        <v>99</v>
      </c>
      <c r="P37">
        <v>44.5</v>
      </c>
      <c r="R37" t="s">
        <v>233</v>
      </c>
      <c r="S37">
        <v>4.21</v>
      </c>
      <c r="T37">
        <v>3.02</v>
      </c>
      <c r="U37">
        <v>5.71</v>
      </c>
      <c r="V37">
        <v>0.74281443990171325</v>
      </c>
      <c r="W37">
        <v>41</v>
      </c>
      <c r="X37">
        <v>9.738717339667458</v>
      </c>
      <c r="Y37" t="s">
        <v>236</v>
      </c>
      <c r="Z37">
        <v>1</v>
      </c>
      <c r="AA37">
        <v>0</v>
      </c>
      <c r="AB37">
        <v>0</v>
      </c>
      <c r="AC37">
        <v>95</v>
      </c>
      <c r="AD37" t="s">
        <v>239</v>
      </c>
      <c r="AE37" t="s">
        <v>241</v>
      </c>
      <c r="AF37" t="s">
        <v>246</v>
      </c>
      <c r="AH37" t="s">
        <v>284</v>
      </c>
      <c r="AI37" t="s">
        <v>262</v>
      </c>
      <c r="AJ37" t="s">
        <v>320</v>
      </c>
      <c r="AK37" t="s">
        <v>332</v>
      </c>
      <c r="AL37" t="s">
        <v>370</v>
      </c>
      <c r="AM37" t="s">
        <v>333</v>
      </c>
      <c r="AN37">
        <v>1</v>
      </c>
      <c r="AO37">
        <v>0</v>
      </c>
      <c r="AP37">
        <v>0</v>
      </c>
      <c r="AQ37">
        <v>0</v>
      </c>
      <c r="AR37">
        <v>1</v>
      </c>
      <c r="AS37">
        <v>0</v>
      </c>
      <c r="AT37">
        <v>0</v>
      </c>
      <c r="AU37">
        <v>1</v>
      </c>
      <c r="AV37">
        <v>0</v>
      </c>
      <c r="AW37">
        <v>0</v>
      </c>
      <c r="AX37">
        <v>0</v>
      </c>
      <c r="AY37">
        <v>0</v>
      </c>
      <c r="AZ37">
        <v>0</v>
      </c>
      <c r="BA37">
        <v>0</v>
      </c>
      <c r="BB37">
        <v>0</v>
      </c>
      <c r="BC37">
        <v>0</v>
      </c>
    </row>
    <row r="38" spans="1:55" x14ac:dyDescent="0.3">
      <c r="A38">
        <v>16</v>
      </c>
      <c r="B38" t="s">
        <v>94</v>
      </c>
      <c r="C38" t="s">
        <v>102</v>
      </c>
      <c r="D38" t="s">
        <v>136</v>
      </c>
      <c r="E38" t="s">
        <v>140</v>
      </c>
      <c r="F38" t="s">
        <v>157</v>
      </c>
      <c r="G38">
        <v>4624</v>
      </c>
      <c r="H38">
        <v>1</v>
      </c>
      <c r="I38" t="s">
        <v>217</v>
      </c>
      <c r="J38" t="s">
        <v>229</v>
      </c>
      <c r="K38">
        <v>0.52</v>
      </c>
      <c r="L38">
        <v>2019</v>
      </c>
      <c r="M38">
        <v>2019</v>
      </c>
      <c r="N38">
        <v>15</v>
      </c>
      <c r="O38">
        <v>99</v>
      </c>
      <c r="P38">
        <v>44.5</v>
      </c>
      <c r="R38" t="s">
        <v>233</v>
      </c>
      <c r="S38">
        <v>4.17</v>
      </c>
      <c r="T38">
        <v>2.99</v>
      </c>
      <c r="U38">
        <v>5.65</v>
      </c>
      <c r="V38">
        <v>0.73503096590352424</v>
      </c>
      <c r="W38">
        <v>41</v>
      </c>
      <c r="X38">
        <v>9.8321342925659483</v>
      </c>
      <c r="Y38" t="s">
        <v>236</v>
      </c>
      <c r="Z38">
        <v>1</v>
      </c>
      <c r="AA38">
        <v>0</v>
      </c>
      <c r="AB38">
        <v>0</v>
      </c>
      <c r="AC38">
        <v>95</v>
      </c>
      <c r="AD38" t="s">
        <v>239</v>
      </c>
      <c r="AE38" t="s">
        <v>241</v>
      </c>
      <c r="AF38" t="s">
        <v>246</v>
      </c>
      <c r="AH38" t="s">
        <v>284</v>
      </c>
      <c r="AI38" t="s">
        <v>262</v>
      </c>
      <c r="AJ38" t="s">
        <v>320</v>
      </c>
      <c r="AK38" t="s">
        <v>332</v>
      </c>
      <c r="AL38" t="s">
        <v>370</v>
      </c>
      <c r="AM38" t="s">
        <v>333</v>
      </c>
      <c r="AN38">
        <v>1</v>
      </c>
      <c r="AO38">
        <v>0</v>
      </c>
      <c r="AP38">
        <v>0</v>
      </c>
      <c r="AQ38">
        <v>0</v>
      </c>
      <c r="AR38">
        <v>1</v>
      </c>
      <c r="AS38">
        <v>0</v>
      </c>
      <c r="AT38">
        <v>0</v>
      </c>
      <c r="AU38">
        <v>1</v>
      </c>
      <c r="AV38">
        <v>0</v>
      </c>
      <c r="AW38">
        <v>0</v>
      </c>
      <c r="AX38">
        <v>0</v>
      </c>
      <c r="AY38">
        <v>0</v>
      </c>
      <c r="AZ38">
        <v>0</v>
      </c>
      <c r="BA38">
        <v>0</v>
      </c>
      <c r="BB38">
        <v>0</v>
      </c>
      <c r="BC38">
        <v>0</v>
      </c>
    </row>
    <row r="39" spans="1:55" x14ac:dyDescent="0.3">
      <c r="A39">
        <v>16</v>
      </c>
      <c r="B39" t="s">
        <v>94</v>
      </c>
      <c r="C39" t="s">
        <v>102</v>
      </c>
      <c r="D39" t="s">
        <v>136</v>
      </c>
      <c r="E39" t="s">
        <v>140</v>
      </c>
      <c r="F39" t="s">
        <v>157</v>
      </c>
      <c r="G39">
        <v>4624</v>
      </c>
      <c r="H39">
        <v>1</v>
      </c>
      <c r="I39" t="s">
        <v>217</v>
      </c>
      <c r="J39" t="s">
        <v>229</v>
      </c>
      <c r="K39">
        <v>0.52</v>
      </c>
      <c r="L39">
        <v>2019</v>
      </c>
      <c r="M39">
        <v>2019</v>
      </c>
      <c r="N39">
        <v>15</v>
      </c>
      <c r="O39">
        <v>99</v>
      </c>
      <c r="P39">
        <v>44.5</v>
      </c>
      <c r="R39" t="s">
        <v>233</v>
      </c>
      <c r="S39">
        <v>3.35</v>
      </c>
      <c r="T39">
        <v>2.35</v>
      </c>
      <c r="U39">
        <v>4.6399999999999997</v>
      </c>
      <c r="V39">
        <v>0.63488800544409152</v>
      </c>
      <c r="W39">
        <v>36</v>
      </c>
      <c r="X39">
        <v>10.746268656716421</v>
      </c>
      <c r="Y39" t="s">
        <v>236</v>
      </c>
      <c r="Z39">
        <v>1</v>
      </c>
      <c r="AA39">
        <v>0</v>
      </c>
      <c r="AB39">
        <v>0</v>
      </c>
      <c r="AC39">
        <v>95</v>
      </c>
      <c r="AD39" t="s">
        <v>239</v>
      </c>
      <c r="AE39" t="s">
        <v>241</v>
      </c>
      <c r="AF39" t="s">
        <v>246</v>
      </c>
      <c r="AH39" t="s">
        <v>284</v>
      </c>
      <c r="AI39" t="s">
        <v>262</v>
      </c>
      <c r="AJ39" t="s">
        <v>320</v>
      </c>
      <c r="AK39" t="s">
        <v>332</v>
      </c>
      <c r="AL39" t="s">
        <v>370</v>
      </c>
      <c r="AM39" t="s">
        <v>333</v>
      </c>
      <c r="AN39">
        <v>1</v>
      </c>
      <c r="AO39">
        <v>0</v>
      </c>
      <c r="AP39">
        <v>0</v>
      </c>
      <c r="AQ39">
        <v>0</v>
      </c>
      <c r="AR39">
        <v>1</v>
      </c>
      <c r="AS39">
        <v>0</v>
      </c>
      <c r="AT39">
        <v>0</v>
      </c>
      <c r="AU39">
        <v>1</v>
      </c>
      <c r="AV39">
        <v>0</v>
      </c>
      <c r="AW39">
        <v>0</v>
      </c>
      <c r="AX39">
        <v>0</v>
      </c>
      <c r="AY39">
        <v>0</v>
      </c>
      <c r="AZ39">
        <v>0</v>
      </c>
      <c r="BA39">
        <v>0</v>
      </c>
      <c r="BB39">
        <v>0</v>
      </c>
      <c r="BC39">
        <v>0</v>
      </c>
    </row>
    <row r="40" spans="1:55" x14ac:dyDescent="0.3">
      <c r="A40">
        <v>16</v>
      </c>
      <c r="B40" t="s">
        <v>94</v>
      </c>
      <c r="C40" t="s">
        <v>102</v>
      </c>
      <c r="D40" t="s">
        <v>136</v>
      </c>
      <c r="E40" t="s">
        <v>140</v>
      </c>
      <c r="F40" t="s">
        <v>157</v>
      </c>
      <c r="G40">
        <v>4624</v>
      </c>
      <c r="H40">
        <v>1</v>
      </c>
      <c r="I40" t="s">
        <v>217</v>
      </c>
      <c r="J40" t="s">
        <v>229</v>
      </c>
      <c r="K40">
        <v>0.52</v>
      </c>
      <c r="L40">
        <v>2020</v>
      </c>
      <c r="M40">
        <v>2020</v>
      </c>
      <c r="N40">
        <v>15</v>
      </c>
      <c r="O40">
        <v>99</v>
      </c>
      <c r="P40">
        <v>45</v>
      </c>
      <c r="R40" t="s">
        <v>233</v>
      </c>
      <c r="S40">
        <v>4.29</v>
      </c>
      <c r="T40">
        <v>3.2</v>
      </c>
      <c r="U40">
        <v>5.63</v>
      </c>
      <c r="V40">
        <v>0.66507092425829539</v>
      </c>
      <c r="W40">
        <v>52</v>
      </c>
      <c r="X40">
        <v>12.121212121212119</v>
      </c>
      <c r="Y40" t="s">
        <v>236</v>
      </c>
      <c r="Z40">
        <v>1</v>
      </c>
      <c r="AA40">
        <v>0</v>
      </c>
      <c r="AB40">
        <v>0</v>
      </c>
      <c r="AC40">
        <v>95</v>
      </c>
      <c r="AD40" t="s">
        <v>239</v>
      </c>
      <c r="AE40" t="s">
        <v>241</v>
      </c>
      <c r="AF40" t="s">
        <v>246</v>
      </c>
      <c r="AH40" t="s">
        <v>284</v>
      </c>
      <c r="AI40" t="s">
        <v>262</v>
      </c>
      <c r="AJ40" t="s">
        <v>320</v>
      </c>
      <c r="AK40" t="s">
        <v>332</v>
      </c>
      <c r="AL40" t="s">
        <v>370</v>
      </c>
      <c r="AM40" t="s">
        <v>333</v>
      </c>
      <c r="AN40">
        <v>1</v>
      </c>
      <c r="AO40">
        <v>0</v>
      </c>
      <c r="AP40">
        <v>0</v>
      </c>
      <c r="AQ40">
        <v>0</v>
      </c>
      <c r="AR40">
        <v>1</v>
      </c>
      <c r="AS40">
        <v>0</v>
      </c>
      <c r="AT40">
        <v>0</v>
      </c>
      <c r="AU40">
        <v>1</v>
      </c>
      <c r="AV40">
        <v>0</v>
      </c>
      <c r="AW40">
        <v>0</v>
      </c>
      <c r="AX40">
        <v>0</v>
      </c>
      <c r="AY40">
        <v>0</v>
      </c>
      <c r="AZ40">
        <v>0</v>
      </c>
      <c r="BA40">
        <v>0</v>
      </c>
      <c r="BB40">
        <v>0</v>
      </c>
      <c r="BC40">
        <v>0</v>
      </c>
    </row>
    <row r="41" spans="1:55" x14ac:dyDescent="0.3">
      <c r="A41">
        <v>16</v>
      </c>
      <c r="B41" t="s">
        <v>94</v>
      </c>
      <c r="C41" t="s">
        <v>102</v>
      </c>
      <c r="D41" t="s">
        <v>136</v>
      </c>
      <c r="E41" t="s">
        <v>140</v>
      </c>
      <c r="F41" t="s">
        <v>157</v>
      </c>
      <c r="G41">
        <v>4624</v>
      </c>
      <c r="H41">
        <v>1</v>
      </c>
      <c r="I41" t="s">
        <v>217</v>
      </c>
      <c r="J41" t="s">
        <v>229</v>
      </c>
      <c r="K41">
        <v>0.52</v>
      </c>
      <c r="L41">
        <v>2020</v>
      </c>
      <c r="M41">
        <v>2020</v>
      </c>
      <c r="N41">
        <v>15</v>
      </c>
      <c r="O41">
        <v>99</v>
      </c>
      <c r="P41">
        <v>45</v>
      </c>
      <c r="R41" t="s">
        <v>233</v>
      </c>
      <c r="S41">
        <v>6.43</v>
      </c>
      <c r="T41">
        <v>5</v>
      </c>
      <c r="U41">
        <v>8.14</v>
      </c>
      <c r="V41">
        <v>0.85124148148619849</v>
      </c>
      <c r="W41">
        <v>69</v>
      </c>
      <c r="X41">
        <v>10.73094867807154</v>
      </c>
      <c r="Y41" t="s">
        <v>236</v>
      </c>
      <c r="Z41">
        <v>1</v>
      </c>
      <c r="AA41">
        <v>0</v>
      </c>
      <c r="AB41">
        <v>0</v>
      </c>
      <c r="AC41">
        <v>95</v>
      </c>
      <c r="AD41" t="s">
        <v>239</v>
      </c>
      <c r="AE41" t="s">
        <v>241</v>
      </c>
      <c r="AF41" t="s">
        <v>246</v>
      </c>
      <c r="AH41" t="s">
        <v>284</v>
      </c>
      <c r="AI41" t="s">
        <v>262</v>
      </c>
      <c r="AJ41" t="s">
        <v>320</v>
      </c>
      <c r="AK41" t="s">
        <v>332</v>
      </c>
      <c r="AL41" t="s">
        <v>370</v>
      </c>
      <c r="AM41" t="s">
        <v>333</v>
      </c>
      <c r="AN41">
        <v>1</v>
      </c>
      <c r="AO41">
        <v>0</v>
      </c>
      <c r="AP41">
        <v>0</v>
      </c>
      <c r="AQ41">
        <v>0</v>
      </c>
      <c r="AR41">
        <v>1</v>
      </c>
      <c r="AS41">
        <v>0</v>
      </c>
      <c r="AT41">
        <v>0</v>
      </c>
      <c r="AU41">
        <v>1</v>
      </c>
      <c r="AV41">
        <v>0</v>
      </c>
      <c r="AW41">
        <v>0</v>
      </c>
      <c r="AX41">
        <v>0</v>
      </c>
      <c r="AY41">
        <v>0</v>
      </c>
      <c r="AZ41">
        <v>0</v>
      </c>
      <c r="BA41">
        <v>0</v>
      </c>
      <c r="BB41">
        <v>0</v>
      </c>
      <c r="BC41">
        <v>0</v>
      </c>
    </row>
    <row r="42" spans="1:55" x14ac:dyDescent="0.3">
      <c r="A42">
        <v>16</v>
      </c>
      <c r="B42" t="s">
        <v>94</v>
      </c>
      <c r="C42" t="s">
        <v>102</v>
      </c>
      <c r="D42" t="s">
        <v>136</v>
      </c>
      <c r="E42" t="s">
        <v>140</v>
      </c>
      <c r="F42" t="s">
        <v>157</v>
      </c>
      <c r="G42">
        <v>4624</v>
      </c>
      <c r="H42">
        <v>1</v>
      </c>
      <c r="I42" t="s">
        <v>217</v>
      </c>
      <c r="J42" t="s">
        <v>229</v>
      </c>
      <c r="K42">
        <v>0.52</v>
      </c>
      <c r="L42">
        <v>2020</v>
      </c>
      <c r="M42">
        <v>2020</v>
      </c>
      <c r="N42">
        <v>15</v>
      </c>
      <c r="O42">
        <v>99</v>
      </c>
      <c r="P42">
        <v>45</v>
      </c>
      <c r="R42" t="s">
        <v>233</v>
      </c>
      <c r="S42">
        <v>3</v>
      </c>
      <c r="T42">
        <v>2.0499999999999998</v>
      </c>
      <c r="U42">
        <v>4.2300000000000004</v>
      </c>
      <c r="V42">
        <v>0.60889618517142718</v>
      </c>
      <c r="W42">
        <v>32</v>
      </c>
      <c r="X42">
        <v>10.66666666666667</v>
      </c>
      <c r="Y42" t="s">
        <v>236</v>
      </c>
      <c r="Z42">
        <v>1</v>
      </c>
      <c r="AA42">
        <v>0</v>
      </c>
      <c r="AB42">
        <v>0</v>
      </c>
      <c r="AC42">
        <v>95</v>
      </c>
      <c r="AD42" t="s">
        <v>239</v>
      </c>
      <c r="AE42" t="s">
        <v>241</v>
      </c>
      <c r="AF42" t="s">
        <v>246</v>
      </c>
      <c r="AH42" t="s">
        <v>284</v>
      </c>
      <c r="AI42" t="s">
        <v>262</v>
      </c>
      <c r="AJ42" t="s">
        <v>320</v>
      </c>
      <c r="AK42" t="s">
        <v>332</v>
      </c>
      <c r="AL42" t="s">
        <v>370</v>
      </c>
      <c r="AM42" t="s">
        <v>333</v>
      </c>
      <c r="AN42">
        <v>1</v>
      </c>
      <c r="AO42">
        <v>0</v>
      </c>
      <c r="AP42">
        <v>0</v>
      </c>
      <c r="AQ42">
        <v>0</v>
      </c>
      <c r="AR42">
        <v>1</v>
      </c>
      <c r="AS42">
        <v>0</v>
      </c>
      <c r="AT42">
        <v>0</v>
      </c>
      <c r="AU42">
        <v>1</v>
      </c>
      <c r="AV42">
        <v>0</v>
      </c>
      <c r="AW42">
        <v>0</v>
      </c>
      <c r="AX42">
        <v>0</v>
      </c>
      <c r="AY42">
        <v>0</v>
      </c>
      <c r="AZ42">
        <v>0</v>
      </c>
      <c r="BA42">
        <v>0</v>
      </c>
      <c r="BB42">
        <v>0</v>
      </c>
      <c r="BC42">
        <v>0</v>
      </c>
    </row>
    <row r="43" spans="1:55" x14ac:dyDescent="0.3">
      <c r="A43">
        <v>16</v>
      </c>
      <c r="B43" t="s">
        <v>94</v>
      </c>
      <c r="C43" t="s">
        <v>102</v>
      </c>
      <c r="D43" t="s">
        <v>136</v>
      </c>
      <c r="E43" t="s">
        <v>140</v>
      </c>
      <c r="F43" t="s">
        <v>157</v>
      </c>
      <c r="G43">
        <v>4624</v>
      </c>
      <c r="H43">
        <v>1</v>
      </c>
      <c r="I43" t="s">
        <v>217</v>
      </c>
      <c r="J43" t="s">
        <v>229</v>
      </c>
      <c r="K43">
        <v>0.52</v>
      </c>
      <c r="L43">
        <v>2020</v>
      </c>
      <c r="M43">
        <v>2020</v>
      </c>
      <c r="N43">
        <v>15</v>
      </c>
      <c r="O43">
        <v>99</v>
      </c>
      <c r="P43">
        <v>45</v>
      </c>
      <c r="R43" t="s">
        <v>233</v>
      </c>
      <c r="S43">
        <v>3.56</v>
      </c>
      <c r="T43">
        <v>2.56</v>
      </c>
      <c r="U43">
        <v>4.83</v>
      </c>
      <c r="V43">
        <v>0.62586050216598543</v>
      </c>
      <c r="W43">
        <v>41</v>
      </c>
      <c r="X43">
        <v>11.51685393258427</v>
      </c>
      <c r="Y43" t="s">
        <v>236</v>
      </c>
      <c r="Z43">
        <v>1</v>
      </c>
      <c r="AA43">
        <v>0</v>
      </c>
      <c r="AB43">
        <v>0</v>
      </c>
      <c r="AC43">
        <v>95</v>
      </c>
      <c r="AD43" t="s">
        <v>239</v>
      </c>
      <c r="AE43" t="s">
        <v>241</v>
      </c>
      <c r="AF43" t="s">
        <v>246</v>
      </c>
      <c r="AH43" t="s">
        <v>284</v>
      </c>
      <c r="AI43" t="s">
        <v>262</v>
      </c>
      <c r="AJ43" t="s">
        <v>320</v>
      </c>
      <c r="AK43" t="s">
        <v>332</v>
      </c>
      <c r="AL43" t="s">
        <v>370</v>
      </c>
      <c r="AM43" t="s">
        <v>333</v>
      </c>
      <c r="AN43">
        <v>1</v>
      </c>
      <c r="AO43">
        <v>0</v>
      </c>
      <c r="AP43">
        <v>0</v>
      </c>
      <c r="AQ43">
        <v>0</v>
      </c>
      <c r="AR43">
        <v>1</v>
      </c>
      <c r="AS43">
        <v>0</v>
      </c>
      <c r="AT43">
        <v>0</v>
      </c>
      <c r="AU43">
        <v>1</v>
      </c>
      <c r="AV43">
        <v>0</v>
      </c>
      <c r="AW43">
        <v>0</v>
      </c>
      <c r="AX43">
        <v>0</v>
      </c>
      <c r="AY43">
        <v>0</v>
      </c>
      <c r="AZ43">
        <v>0</v>
      </c>
      <c r="BA43">
        <v>0</v>
      </c>
      <c r="BB43">
        <v>0</v>
      </c>
      <c r="BC43">
        <v>0</v>
      </c>
    </row>
    <row r="44" spans="1:55" x14ac:dyDescent="0.3">
      <c r="A44">
        <v>17</v>
      </c>
      <c r="B44" t="s">
        <v>70</v>
      </c>
      <c r="C44" t="s">
        <v>123</v>
      </c>
      <c r="D44" t="s">
        <v>133</v>
      </c>
      <c r="E44" t="s">
        <v>138</v>
      </c>
      <c r="F44" t="s">
        <v>152</v>
      </c>
      <c r="G44">
        <v>89</v>
      </c>
      <c r="H44">
        <v>1</v>
      </c>
      <c r="I44" t="s">
        <v>204</v>
      </c>
      <c r="J44" t="s">
        <v>229</v>
      </c>
      <c r="L44">
        <v>1991</v>
      </c>
      <c r="M44">
        <v>1992</v>
      </c>
      <c r="N44">
        <v>19</v>
      </c>
      <c r="O44">
        <v>24</v>
      </c>
      <c r="R44" t="s">
        <v>232</v>
      </c>
      <c r="S44">
        <v>3.0000000000000001E-3</v>
      </c>
      <c r="T44">
        <v>0</v>
      </c>
      <c r="U44">
        <v>8.0000000000000002E-3</v>
      </c>
      <c r="V44">
        <v>2.55106728462327E-3</v>
      </c>
      <c r="Y44" t="s">
        <v>236</v>
      </c>
      <c r="Z44">
        <v>1</v>
      </c>
      <c r="AA44">
        <v>0</v>
      </c>
      <c r="AB44">
        <v>0</v>
      </c>
      <c r="AC44">
        <v>95</v>
      </c>
      <c r="AD44" t="s">
        <v>239</v>
      </c>
      <c r="AE44" t="s">
        <v>240</v>
      </c>
      <c r="AF44" t="s">
        <v>243</v>
      </c>
      <c r="AH44" t="s">
        <v>253</v>
      </c>
      <c r="AI44" t="s">
        <v>253</v>
      </c>
      <c r="AJ44" t="s">
        <v>298</v>
      </c>
      <c r="AK44" t="s">
        <v>325</v>
      </c>
      <c r="AL44" t="s">
        <v>357</v>
      </c>
      <c r="AM44" t="s">
        <v>385</v>
      </c>
      <c r="AN44">
        <v>0</v>
      </c>
      <c r="AO44">
        <v>1</v>
      </c>
      <c r="AP44">
        <v>0</v>
      </c>
      <c r="AQ44">
        <v>1</v>
      </c>
      <c r="AR44">
        <v>0</v>
      </c>
      <c r="AS44">
        <v>0</v>
      </c>
      <c r="AT44">
        <v>0</v>
      </c>
      <c r="AU44">
        <v>0</v>
      </c>
      <c r="AV44">
        <v>1</v>
      </c>
      <c r="AW44">
        <v>0</v>
      </c>
      <c r="AX44">
        <v>0</v>
      </c>
      <c r="AY44">
        <v>0</v>
      </c>
      <c r="AZ44">
        <v>0</v>
      </c>
      <c r="BA44">
        <v>0</v>
      </c>
      <c r="BB44">
        <v>0</v>
      </c>
      <c r="BC44">
        <v>0</v>
      </c>
    </row>
    <row r="45" spans="1:55" x14ac:dyDescent="0.3">
      <c r="A45">
        <v>17</v>
      </c>
      <c r="B45" t="s">
        <v>70</v>
      </c>
      <c r="C45" t="s">
        <v>123</v>
      </c>
      <c r="D45" t="s">
        <v>133</v>
      </c>
      <c r="E45" t="s">
        <v>138</v>
      </c>
      <c r="F45" t="s">
        <v>152</v>
      </c>
      <c r="G45">
        <v>89</v>
      </c>
      <c r="H45">
        <v>1</v>
      </c>
      <c r="I45" t="s">
        <v>204</v>
      </c>
      <c r="J45" t="s">
        <v>229</v>
      </c>
      <c r="L45">
        <v>1991</v>
      </c>
      <c r="M45">
        <v>1992</v>
      </c>
      <c r="N45">
        <v>19</v>
      </c>
      <c r="O45">
        <v>24</v>
      </c>
      <c r="R45" t="s">
        <v>232</v>
      </c>
      <c r="S45">
        <v>2E-3</v>
      </c>
      <c r="T45">
        <v>0</v>
      </c>
      <c r="U45">
        <v>5.0000000000000001E-3</v>
      </c>
      <c r="V45">
        <v>1.5306403707739621E-3</v>
      </c>
      <c r="Y45" t="s">
        <v>236</v>
      </c>
      <c r="Z45">
        <v>1</v>
      </c>
      <c r="AA45">
        <v>0</v>
      </c>
      <c r="AB45">
        <v>0</v>
      </c>
      <c r="AC45">
        <v>95</v>
      </c>
      <c r="AD45" t="s">
        <v>239</v>
      </c>
      <c r="AE45" t="s">
        <v>240</v>
      </c>
      <c r="AF45" t="s">
        <v>243</v>
      </c>
      <c r="AH45" t="s">
        <v>258</v>
      </c>
      <c r="AI45" t="s">
        <v>258</v>
      </c>
      <c r="AJ45" t="s">
        <v>298</v>
      </c>
      <c r="AK45" t="s">
        <v>325</v>
      </c>
      <c r="AL45" t="s">
        <v>357</v>
      </c>
      <c r="AM45" t="s">
        <v>385</v>
      </c>
      <c r="AN45">
        <v>0</v>
      </c>
      <c r="AO45">
        <v>1</v>
      </c>
      <c r="AP45">
        <v>1</v>
      </c>
      <c r="AQ45">
        <v>0</v>
      </c>
      <c r="AR45">
        <v>0</v>
      </c>
      <c r="AS45">
        <v>0</v>
      </c>
      <c r="AT45">
        <v>0</v>
      </c>
      <c r="AU45">
        <v>0</v>
      </c>
      <c r="AV45">
        <v>1</v>
      </c>
      <c r="AW45">
        <v>0</v>
      </c>
      <c r="AX45">
        <v>0</v>
      </c>
      <c r="AY45">
        <v>0</v>
      </c>
      <c r="AZ45">
        <v>0</v>
      </c>
      <c r="BA45">
        <v>0</v>
      </c>
      <c r="BB45">
        <v>0</v>
      </c>
      <c r="BC45">
        <v>0</v>
      </c>
    </row>
    <row r="46" spans="1:55" x14ac:dyDescent="0.3">
      <c r="A46">
        <v>18</v>
      </c>
      <c r="B46" t="s">
        <v>82</v>
      </c>
      <c r="C46" t="s">
        <v>131</v>
      </c>
      <c r="D46" t="s">
        <v>102</v>
      </c>
      <c r="E46" t="s">
        <v>140</v>
      </c>
      <c r="F46" t="s">
        <v>157</v>
      </c>
      <c r="G46">
        <v>4624</v>
      </c>
      <c r="H46">
        <v>1</v>
      </c>
      <c r="I46" t="s">
        <v>209</v>
      </c>
      <c r="J46" t="s">
        <v>231</v>
      </c>
      <c r="L46">
        <v>2007</v>
      </c>
      <c r="M46">
        <v>2010</v>
      </c>
      <c r="N46">
        <v>15</v>
      </c>
      <c r="O46">
        <v>99</v>
      </c>
      <c r="P46">
        <v>37.799999999999997</v>
      </c>
      <c r="R46" t="s">
        <v>233</v>
      </c>
      <c r="S46">
        <v>5</v>
      </c>
      <c r="T46">
        <v>3.15</v>
      </c>
      <c r="U46">
        <v>7.45</v>
      </c>
      <c r="V46">
        <v>1.2278846855672201</v>
      </c>
      <c r="W46">
        <v>23</v>
      </c>
      <c r="X46">
        <v>1103</v>
      </c>
      <c r="Y46" t="s">
        <v>236</v>
      </c>
      <c r="Z46">
        <v>1</v>
      </c>
      <c r="AA46">
        <v>0</v>
      </c>
      <c r="AB46">
        <v>0</v>
      </c>
      <c r="AC46">
        <v>95</v>
      </c>
      <c r="AD46" t="s">
        <v>239</v>
      </c>
      <c r="AE46" t="s">
        <v>241</v>
      </c>
      <c r="AF46" t="s">
        <v>246</v>
      </c>
      <c r="AH46" t="s">
        <v>275</v>
      </c>
      <c r="AI46" t="s">
        <v>262</v>
      </c>
      <c r="AJ46" t="s">
        <v>310</v>
      </c>
      <c r="AK46" t="s">
        <v>7</v>
      </c>
      <c r="AL46" t="s">
        <v>361</v>
      </c>
      <c r="AM46" t="s">
        <v>387</v>
      </c>
      <c r="AN46">
        <v>1</v>
      </c>
      <c r="AO46">
        <v>0</v>
      </c>
      <c r="AP46">
        <v>0</v>
      </c>
      <c r="AQ46">
        <v>0</v>
      </c>
      <c r="AR46">
        <v>0</v>
      </c>
      <c r="AS46">
        <v>0</v>
      </c>
      <c r="AT46">
        <v>1</v>
      </c>
      <c r="AU46">
        <v>0</v>
      </c>
      <c r="AV46">
        <v>0</v>
      </c>
      <c r="AW46">
        <v>0</v>
      </c>
      <c r="AX46">
        <v>0</v>
      </c>
      <c r="AY46">
        <v>0</v>
      </c>
      <c r="AZ46">
        <v>0</v>
      </c>
      <c r="BA46">
        <v>0</v>
      </c>
      <c r="BB46">
        <v>0</v>
      </c>
      <c r="BC46">
        <v>0</v>
      </c>
    </row>
    <row r="47" spans="1:55" x14ac:dyDescent="0.3">
      <c r="A47">
        <v>18</v>
      </c>
      <c r="B47" t="s">
        <v>82</v>
      </c>
      <c r="C47" t="s">
        <v>131</v>
      </c>
      <c r="D47" t="s">
        <v>102</v>
      </c>
      <c r="E47" t="s">
        <v>140</v>
      </c>
      <c r="F47" t="s">
        <v>157</v>
      </c>
      <c r="G47">
        <v>4624</v>
      </c>
      <c r="H47">
        <v>1</v>
      </c>
      <c r="I47" t="s">
        <v>209</v>
      </c>
      <c r="J47" t="s">
        <v>230</v>
      </c>
      <c r="L47">
        <v>2007</v>
      </c>
      <c r="M47">
        <v>2010</v>
      </c>
      <c r="N47">
        <v>15</v>
      </c>
      <c r="O47">
        <v>99</v>
      </c>
      <c r="P47">
        <v>37.799999999999997</v>
      </c>
      <c r="R47" t="s">
        <v>233</v>
      </c>
      <c r="S47">
        <v>3.5</v>
      </c>
      <c r="T47">
        <v>2.17</v>
      </c>
      <c r="U47">
        <v>5.47</v>
      </c>
      <c r="V47">
        <v>0.93098658161098646</v>
      </c>
      <c r="W47">
        <v>20</v>
      </c>
      <c r="X47">
        <v>733</v>
      </c>
      <c r="Y47" t="s">
        <v>236</v>
      </c>
      <c r="Z47">
        <v>1</v>
      </c>
      <c r="AA47">
        <v>0</v>
      </c>
      <c r="AB47">
        <v>0</v>
      </c>
      <c r="AC47">
        <v>95</v>
      </c>
      <c r="AD47" t="s">
        <v>239</v>
      </c>
      <c r="AE47" t="s">
        <v>241</v>
      </c>
      <c r="AF47" t="s">
        <v>246</v>
      </c>
      <c r="AH47" t="s">
        <v>275</v>
      </c>
      <c r="AI47" t="s">
        <v>262</v>
      </c>
      <c r="AJ47" t="s">
        <v>310</v>
      </c>
      <c r="AK47" t="s">
        <v>7</v>
      </c>
      <c r="AL47" t="s">
        <v>361</v>
      </c>
      <c r="AM47" t="s">
        <v>387</v>
      </c>
      <c r="AN47">
        <v>1</v>
      </c>
      <c r="AO47">
        <v>0</v>
      </c>
      <c r="AP47">
        <v>0</v>
      </c>
      <c r="AQ47">
        <v>0</v>
      </c>
      <c r="AR47">
        <v>0</v>
      </c>
      <c r="AS47">
        <v>0</v>
      </c>
      <c r="AT47">
        <v>1</v>
      </c>
      <c r="AU47">
        <v>0</v>
      </c>
      <c r="AV47">
        <v>0</v>
      </c>
      <c r="AW47">
        <v>0</v>
      </c>
      <c r="AX47">
        <v>0</v>
      </c>
      <c r="AY47">
        <v>0</v>
      </c>
      <c r="AZ47">
        <v>0</v>
      </c>
      <c r="BA47">
        <v>0</v>
      </c>
      <c r="BB47">
        <v>0</v>
      </c>
      <c r="BC47">
        <v>0</v>
      </c>
    </row>
    <row r="48" spans="1:55" x14ac:dyDescent="0.3">
      <c r="A48">
        <v>18</v>
      </c>
      <c r="B48" t="s">
        <v>82</v>
      </c>
      <c r="C48" t="s">
        <v>131</v>
      </c>
      <c r="D48" t="s">
        <v>102</v>
      </c>
      <c r="E48" t="s">
        <v>140</v>
      </c>
      <c r="F48" t="s">
        <v>157</v>
      </c>
      <c r="G48">
        <v>4624</v>
      </c>
      <c r="H48">
        <v>1</v>
      </c>
      <c r="I48" t="s">
        <v>209</v>
      </c>
      <c r="J48" t="s">
        <v>229</v>
      </c>
      <c r="K48">
        <f>(1103)/(1103+733)</f>
        <v>0.60076252723311552</v>
      </c>
      <c r="L48">
        <v>2007</v>
      </c>
      <c r="M48">
        <v>2010</v>
      </c>
      <c r="N48">
        <v>15</v>
      </c>
      <c r="O48">
        <v>44</v>
      </c>
      <c r="R48" t="s">
        <v>233</v>
      </c>
      <c r="S48">
        <v>10.3</v>
      </c>
      <c r="T48">
        <v>6.29</v>
      </c>
      <c r="U48">
        <v>15.91</v>
      </c>
      <c r="V48">
        <v>2.7511932269527168</v>
      </c>
      <c r="W48">
        <v>20</v>
      </c>
      <c r="X48">
        <v>1354</v>
      </c>
      <c r="Y48" t="s">
        <v>236</v>
      </c>
      <c r="Z48">
        <v>1</v>
      </c>
      <c r="AA48">
        <v>0</v>
      </c>
      <c r="AB48">
        <v>0</v>
      </c>
      <c r="AC48">
        <v>95</v>
      </c>
      <c r="AD48" t="s">
        <v>239</v>
      </c>
      <c r="AE48" t="s">
        <v>241</v>
      </c>
      <c r="AF48" t="s">
        <v>246</v>
      </c>
      <c r="AH48" t="s">
        <v>275</v>
      </c>
      <c r="AI48" t="s">
        <v>262</v>
      </c>
      <c r="AJ48" t="s">
        <v>310</v>
      </c>
      <c r="AK48" t="s">
        <v>324</v>
      </c>
      <c r="AL48" t="s">
        <v>361</v>
      </c>
      <c r="AM48" t="s">
        <v>387</v>
      </c>
      <c r="AN48">
        <v>1</v>
      </c>
      <c r="AO48">
        <v>0</v>
      </c>
      <c r="AP48">
        <v>0</v>
      </c>
      <c r="AQ48">
        <v>0</v>
      </c>
      <c r="AR48">
        <v>0</v>
      </c>
      <c r="AS48">
        <v>0</v>
      </c>
      <c r="AT48">
        <v>1</v>
      </c>
      <c r="AU48">
        <v>0</v>
      </c>
      <c r="AV48">
        <v>0</v>
      </c>
      <c r="AW48">
        <v>0</v>
      </c>
      <c r="AX48">
        <v>0</v>
      </c>
      <c r="AY48">
        <v>0</v>
      </c>
      <c r="AZ48">
        <v>0</v>
      </c>
      <c r="BA48">
        <v>0</v>
      </c>
      <c r="BB48">
        <v>0</v>
      </c>
      <c r="BC48">
        <v>0</v>
      </c>
    </row>
    <row r="49" spans="1:55" x14ac:dyDescent="0.3">
      <c r="A49">
        <v>18</v>
      </c>
      <c r="B49" t="s">
        <v>82</v>
      </c>
      <c r="C49" t="s">
        <v>131</v>
      </c>
      <c r="D49" t="s">
        <v>102</v>
      </c>
      <c r="E49" t="s">
        <v>140</v>
      </c>
      <c r="F49" t="s">
        <v>157</v>
      </c>
      <c r="G49">
        <v>4624</v>
      </c>
      <c r="H49">
        <v>1</v>
      </c>
      <c r="I49" t="s">
        <v>209</v>
      </c>
      <c r="J49" t="s">
        <v>229</v>
      </c>
      <c r="K49">
        <f>(1103)/(1103+733)</f>
        <v>0.60076252723311552</v>
      </c>
      <c r="L49">
        <v>2007</v>
      </c>
      <c r="M49">
        <v>2010</v>
      </c>
      <c r="N49">
        <v>45</v>
      </c>
      <c r="O49">
        <v>64</v>
      </c>
      <c r="R49" t="s">
        <v>233</v>
      </c>
      <c r="S49">
        <v>3.6</v>
      </c>
      <c r="T49">
        <v>1.78</v>
      </c>
      <c r="U49">
        <v>6.37</v>
      </c>
      <c r="V49">
        <v>1.3837936573506231</v>
      </c>
      <c r="W49">
        <v>11</v>
      </c>
      <c r="X49">
        <v>419</v>
      </c>
      <c r="Y49" t="s">
        <v>236</v>
      </c>
      <c r="Z49">
        <v>1</v>
      </c>
      <c r="AA49">
        <v>0</v>
      </c>
      <c r="AB49">
        <v>0</v>
      </c>
      <c r="AC49">
        <v>95</v>
      </c>
      <c r="AD49" t="s">
        <v>239</v>
      </c>
      <c r="AE49" t="s">
        <v>241</v>
      </c>
      <c r="AF49" t="s">
        <v>246</v>
      </c>
      <c r="AH49" t="s">
        <v>275</v>
      </c>
      <c r="AI49" t="s">
        <v>262</v>
      </c>
      <c r="AJ49" t="s">
        <v>310</v>
      </c>
      <c r="AK49" t="s">
        <v>324</v>
      </c>
      <c r="AL49" t="s">
        <v>361</v>
      </c>
      <c r="AM49" t="s">
        <v>387</v>
      </c>
      <c r="AN49">
        <v>1</v>
      </c>
      <c r="AO49">
        <v>0</v>
      </c>
      <c r="AP49">
        <v>0</v>
      </c>
      <c r="AQ49">
        <v>0</v>
      </c>
      <c r="AR49">
        <v>0</v>
      </c>
      <c r="AS49">
        <v>0</v>
      </c>
      <c r="AT49">
        <v>1</v>
      </c>
      <c r="AU49">
        <v>0</v>
      </c>
      <c r="AV49">
        <v>0</v>
      </c>
      <c r="AW49">
        <v>0</v>
      </c>
      <c r="AX49">
        <v>0</v>
      </c>
      <c r="AY49">
        <v>0</v>
      </c>
      <c r="AZ49">
        <v>0</v>
      </c>
      <c r="BA49">
        <v>0</v>
      </c>
      <c r="BB49">
        <v>0</v>
      </c>
      <c r="BC49">
        <v>0</v>
      </c>
    </row>
    <row r="50" spans="1:55" x14ac:dyDescent="0.3">
      <c r="A50">
        <v>18</v>
      </c>
      <c r="B50" t="s">
        <v>82</v>
      </c>
      <c r="C50" t="s">
        <v>131</v>
      </c>
      <c r="D50" t="s">
        <v>102</v>
      </c>
      <c r="E50" t="s">
        <v>140</v>
      </c>
      <c r="F50" t="s">
        <v>157</v>
      </c>
      <c r="G50">
        <v>4624</v>
      </c>
      <c r="H50">
        <v>1</v>
      </c>
      <c r="I50" t="s">
        <v>209</v>
      </c>
      <c r="J50" t="s">
        <v>229</v>
      </c>
      <c r="K50">
        <f>(1103)/(1103+733)</f>
        <v>0.60076252723311552</v>
      </c>
      <c r="L50">
        <v>2007</v>
      </c>
      <c r="M50">
        <v>2010</v>
      </c>
      <c r="N50">
        <v>65</v>
      </c>
      <c r="O50">
        <v>99</v>
      </c>
      <c r="R50" t="s">
        <v>233</v>
      </c>
      <c r="S50">
        <v>2.5</v>
      </c>
      <c r="T50">
        <v>1.31</v>
      </c>
      <c r="U50">
        <v>4.43</v>
      </c>
      <c r="V50">
        <v>0.91134192691028182</v>
      </c>
      <c r="W50">
        <v>12</v>
      </c>
      <c r="X50">
        <v>63</v>
      </c>
      <c r="Y50" t="s">
        <v>236</v>
      </c>
      <c r="Z50">
        <v>1</v>
      </c>
      <c r="AA50">
        <v>0</v>
      </c>
      <c r="AB50">
        <v>0</v>
      </c>
      <c r="AC50">
        <v>95</v>
      </c>
      <c r="AD50" t="s">
        <v>239</v>
      </c>
      <c r="AE50" t="s">
        <v>241</v>
      </c>
      <c r="AF50" t="s">
        <v>246</v>
      </c>
      <c r="AH50" t="s">
        <v>275</v>
      </c>
      <c r="AI50" t="s">
        <v>262</v>
      </c>
      <c r="AJ50" t="s">
        <v>310</v>
      </c>
      <c r="AK50" t="s">
        <v>324</v>
      </c>
      <c r="AL50" t="s">
        <v>361</v>
      </c>
      <c r="AM50" t="s">
        <v>387</v>
      </c>
      <c r="AN50">
        <v>1</v>
      </c>
      <c r="AO50">
        <v>0</v>
      </c>
      <c r="AP50">
        <v>0</v>
      </c>
      <c r="AQ50">
        <v>0</v>
      </c>
      <c r="AR50">
        <v>0</v>
      </c>
      <c r="AS50">
        <v>0</v>
      </c>
      <c r="AT50">
        <v>1</v>
      </c>
      <c r="AU50">
        <v>0</v>
      </c>
      <c r="AV50">
        <v>0</v>
      </c>
      <c r="AW50">
        <v>0</v>
      </c>
      <c r="AX50">
        <v>0</v>
      </c>
      <c r="AY50">
        <v>0</v>
      </c>
      <c r="AZ50">
        <v>0</v>
      </c>
      <c r="BA50">
        <v>0</v>
      </c>
      <c r="BB50">
        <v>0</v>
      </c>
      <c r="BC50">
        <v>0</v>
      </c>
    </row>
    <row r="51" spans="1:55" x14ac:dyDescent="0.3">
      <c r="A51">
        <v>19</v>
      </c>
      <c r="B51" t="s">
        <v>83</v>
      </c>
      <c r="C51" t="s">
        <v>114</v>
      </c>
      <c r="D51" t="s">
        <v>104</v>
      </c>
      <c r="E51" t="s">
        <v>140</v>
      </c>
      <c r="F51" t="s">
        <v>161</v>
      </c>
      <c r="G51">
        <v>93</v>
      </c>
      <c r="H51">
        <v>0</v>
      </c>
      <c r="I51" t="s">
        <v>222</v>
      </c>
      <c r="J51" t="s">
        <v>230</v>
      </c>
      <c r="L51">
        <v>1969</v>
      </c>
      <c r="M51">
        <v>2004</v>
      </c>
      <c r="N51">
        <v>16</v>
      </c>
      <c r="O51">
        <v>60</v>
      </c>
      <c r="P51">
        <v>29.6</v>
      </c>
      <c r="R51" t="s">
        <v>234</v>
      </c>
      <c r="S51">
        <v>8.6711950000000009</v>
      </c>
      <c r="T51">
        <v>8.0371330000000007</v>
      </c>
      <c r="U51">
        <v>9.3552780000000002</v>
      </c>
      <c r="V51">
        <v>3.8741890000000001E-2</v>
      </c>
      <c r="Y51" t="s">
        <v>236</v>
      </c>
      <c r="Z51">
        <v>1</v>
      </c>
      <c r="AA51">
        <v>0</v>
      </c>
      <c r="AB51">
        <v>1</v>
      </c>
      <c r="AC51">
        <v>95</v>
      </c>
      <c r="AD51" t="s">
        <v>238</v>
      </c>
      <c r="AE51" t="s">
        <v>240</v>
      </c>
      <c r="AF51" t="s">
        <v>246</v>
      </c>
      <c r="AH51" t="s">
        <v>276</v>
      </c>
      <c r="AI51" t="s">
        <v>262</v>
      </c>
      <c r="AJ51" t="s">
        <v>312</v>
      </c>
      <c r="AK51" t="s">
        <v>323</v>
      </c>
      <c r="AL51" t="s">
        <v>362</v>
      </c>
      <c r="AM51" t="s">
        <v>333</v>
      </c>
      <c r="AN51">
        <v>1</v>
      </c>
      <c r="AO51">
        <v>0</v>
      </c>
      <c r="AP51">
        <v>0</v>
      </c>
      <c r="AQ51">
        <v>0</v>
      </c>
      <c r="AR51">
        <v>1</v>
      </c>
      <c r="AS51">
        <v>0</v>
      </c>
      <c r="AT51">
        <v>0</v>
      </c>
      <c r="AU51">
        <v>1</v>
      </c>
      <c r="AV51">
        <v>0</v>
      </c>
      <c r="AW51">
        <v>0</v>
      </c>
      <c r="AX51">
        <v>0</v>
      </c>
      <c r="AY51">
        <v>0</v>
      </c>
      <c r="AZ51">
        <v>0</v>
      </c>
      <c r="BA51">
        <v>0</v>
      </c>
      <c r="BB51">
        <v>0</v>
      </c>
      <c r="BC51">
        <v>0</v>
      </c>
    </row>
    <row r="52" spans="1:55" x14ac:dyDescent="0.3">
      <c r="A52">
        <v>20</v>
      </c>
      <c r="B52" t="s">
        <v>95</v>
      </c>
      <c r="C52" t="s">
        <v>102</v>
      </c>
      <c r="D52" t="s">
        <v>130</v>
      </c>
      <c r="E52" t="s">
        <v>140</v>
      </c>
      <c r="F52" t="s">
        <v>171</v>
      </c>
      <c r="G52">
        <v>35500</v>
      </c>
      <c r="H52">
        <v>0</v>
      </c>
      <c r="I52" t="s">
        <v>218</v>
      </c>
      <c r="J52" t="s">
        <v>230</v>
      </c>
      <c r="L52">
        <v>2008</v>
      </c>
      <c r="M52">
        <v>2018</v>
      </c>
      <c r="N52">
        <v>18</v>
      </c>
      <c r="O52">
        <v>44</v>
      </c>
      <c r="R52" t="s">
        <v>233</v>
      </c>
      <c r="S52">
        <v>4.9000000000000004</v>
      </c>
      <c r="T52">
        <v>3.5</v>
      </c>
      <c r="U52">
        <v>6.7</v>
      </c>
      <c r="V52">
        <v>0.88279639428371293</v>
      </c>
      <c r="W52">
        <v>7634.2000000000007</v>
      </c>
      <c r="X52">
        <v>1558</v>
      </c>
      <c r="Y52" t="s">
        <v>236</v>
      </c>
      <c r="Z52">
        <v>1</v>
      </c>
      <c r="AA52">
        <v>0</v>
      </c>
      <c r="AB52">
        <v>0</v>
      </c>
      <c r="AC52">
        <v>95</v>
      </c>
      <c r="AD52" t="s">
        <v>239</v>
      </c>
      <c r="AE52" t="s">
        <v>240</v>
      </c>
      <c r="AF52" t="s">
        <v>246</v>
      </c>
      <c r="AH52" t="s">
        <v>285</v>
      </c>
      <c r="AI52" t="s">
        <v>262</v>
      </c>
      <c r="AJ52" t="s">
        <v>321</v>
      </c>
      <c r="AK52" t="s">
        <v>327</v>
      </c>
      <c r="AL52" t="s">
        <v>361</v>
      </c>
      <c r="AM52" t="s">
        <v>387</v>
      </c>
      <c r="AN52">
        <v>1</v>
      </c>
      <c r="AO52">
        <v>0</v>
      </c>
      <c r="AP52">
        <v>0</v>
      </c>
      <c r="AQ52">
        <v>0</v>
      </c>
      <c r="AR52">
        <v>0</v>
      </c>
      <c r="AS52">
        <v>0</v>
      </c>
      <c r="AT52">
        <v>1</v>
      </c>
      <c r="AU52">
        <v>0</v>
      </c>
      <c r="AV52">
        <v>0</v>
      </c>
      <c r="AW52">
        <v>0</v>
      </c>
      <c r="AX52">
        <v>0</v>
      </c>
      <c r="AY52">
        <v>0</v>
      </c>
      <c r="AZ52">
        <v>0</v>
      </c>
      <c r="BA52">
        <v>0</v>
      </c>
      <c r="BB52">
        <v>0</v>
      </c>
      <c r="BC52">
        <v>0</v>
      </c>
    </row>
    <row r="53" spans="1:55" x14ac:dyDescent="0.3">
      <c r="A53">
        <v>20</v>
      </c>
      <c r="B53" t="s">
        <v>95</v>
      </c>
      <c r="C53" t="s">
        <v>102</v>
      </c>
      <c r="D53" t="s">
        <v>130</v>
      </c>
      <c r="E53" t="s">
        <v>140</v>
      </c>
      <c r="F53" t="s">
        <v>171</v>
      </c>
      <c r="G53">
        <v>35500</v>
      </c>
      <c r="H53">
        <v>0</v>
      </c>
      <c r="I53" t="s">
        <v>218</v>
      </c>
      <c r="J53" t="s">
        <v>230</v>
      </c>
      <c r="L53">
        <v>2008</v>
      </c>
      <c r="M53">
        <v>2018</v>
      </c>
      <c r="N53">
        <v>45</v>
      </c>
      <c r="O53">
        <v>64</v>
      </c>
      <c r="R53" t="s">
        <v>233</v>
      </c>
      <c r="S53">
        <v>5.6</v>
      </c>
      <c r="T53">
        <v>4.8</v>
      </c>
      <c r="U53">
        <v>6.5</v>
      </c>
      <c r="V53">
        <v>0.45032174963316951</v>
      </c>
      <c r="W53">
        <v>5040</v>
      </c>
      <c r="X53">
        <v>900</v>
      </c>
      <c r="Y53" t="s">
        <v>236</v>
      </c>
      <c r="Z53">
        <v>1</v>
      </c>
      <c r="AA53">
        <v>0</v>
      </c>
      <c r="AB53">
        <v>0</v>
      </c>
      <c r="AC53">
        <v>95</v>
      </c>
      <c r="AD53" t="s">
        <v>239</v>
      </c>
      <c r="AE53" t="s">
        <v>240</v>
      </c>
      <c r="AF53" t="s">
        <v>246</v>
      </c>
      <c r="AH53" t="s">
        <v>285</v>
      </c>
      <c r="AI53" t="s">
        <v>262</v>
      </c>
      <c r="AJ53" t="s">
        <v>321</v>
      </c>
      <c r="AK53" t="s">
        <v>327</v>
      </c>
      <c r="AL53" t="s">
        <v>361</v>
      </c>
      <c r="AM53" t="s">
        <v>387</v>
      </c>
      <c r="AN53">
        <v>1</v>
      </c>
      <c r="AO53">
        <v>0</v>
      </c>
      <c r="AP53">
        <v>0</v>
      </c>
      <c r="AQ53">
        <v>0</v>
      </c>
      <c r="AR53">
        <v>0</v>
      </c>
      <c r="AS53">
        <v>0</v>
      </c>
      <c r="AT53">
        <v>1</v>
      </c>
      <c r="AU53">
        <v>0</v>
      </c>
      <c r="AV53">
        <v>0</v>
      </c>
      <c r="AW53">
        <v>0</v>
      </c>
      <c r="AX53">
        <v>0</v>
      </c>
      <c r="AY53">
        <v>0</v>
      </c>
      <c r="AZ53">
        <v>0</v>
      </c>
      <c r="BA53">
        <v>0</v>
      </c>
      <c r="BB53">
        <v>0</v>
      </c>
      <c r="BC53">
        <v>0</v>
      </c>
    </row>
    <row r="54" spans="1:55" x14ac:dyDescent="0.3">
      <c r="A54">
        <v>20</v>
      </c>
      <c r="B54" t="s">
        <v>95</v>
      </c>
      <c r="C54" t="s">
        <v>102</v>
      </c>
      <c r="D54" t="s">
        <v>130</v>
      </c>
      <c r="E54" t="s">
        <v>140</v>
      </c>
      <c r="F54" t="s">
        <v>171</v>
      </c>
      <c r="G54">
        <v>35500</v>
      </c>
      <c r="H54">
        <v>0</v>
      </c>
      <c r="I54" t="s">
        <v>218</v>
      </c>
      <c r="J54" t="s">
        <v>230</v>
      </c>
      <c r="L54">
        <v>2008</v>
      </c>
      <c r="M54">
        <v>2018</v>
      </c>
      <c r="N54">
        <v>65</v>
      </c>
      <c r="O54">
        <v>85</v>
      </c>
      <c r="R54" t="s">
        <v>233</v>
      </c>
      <c r="S54">
        <v>1.7</v>
      </c>
      <c r="T54">
        <v>1.4</v>
      </c>
      <c r="U54">
        <v>2</v>
      </c>
      <c r="V54">
        <v>0.1619390210198671</v>
      </c>
      <c r="W54">
        <v>316.2</v>
      </c>
      <c r="X54">
        <v>186</v>
      </c>
      <c r="Y54" t="s">
        <v>236</v>
      </c>
      <c r="Z54">
        <v>1</v>
      </c>
      <c r="AA54">
        <v>0</v>
      </c>
      <c r="AB54">
        <v>0</v>
      </c>
      <c r="AC54">
        <v>95</v>
      </c>
      <c r="AD54" t="s">
        <v>239</v>
      </c>
      <c r="AE54" t="s">
        <v>240</v>
      </c>
      <c r="AF54" t="s">
        <v>246</v>
      </c>
      <c r="AH54" t="s">
        <v>285</v>
      </c>
      <c r="AI54" t="s">
        <v>262</v>
      </c>
      <c r="AJ54" t="s">
        <v>321</v>
      </c>
      <c r="AK54" t="s">
        <v>327</v>
      </c>
      <c r="AL54" t="s">
        <v>361</v>
      </c>
      <c r="AM54" t="s">
        <v>387</v>
      </c>
      <c r="AN54">
        <v>1</v>
      </c>
      <c r="AO54">
        <v>0</v>
      </c>
      <c r="AP54">
        <v>0</v>
      </c>
      <c r="AQ54">
        <v>0</v>
      </c>
      <c r="AR54">
        <v>0</v>
      </c>
      <c r="AS54">
        <v>0</v>
      </c>
      <c r="AT54">
        <v>1</v>
      </c>
      <c r="AU54">
        <v>0</v>
      </c>
      <c r="AV54">
        <v>0</v>
      </c>
      <c r="AW54">
        <v>0</v>
      </c>
      <c r="AX54">
        <v>0</v>
      </c>
      <c r="AY54">
        <v>0</v>
      </c>
      <c r="AZ54">
        <v>0</v>
      </c>
      <c r="BA54">
        <v>0</v>
      </c>
      <c r="BB54">
        <v>0</v>
      </c>
      <c r="BC54">
        <v>0</v>
      </c>
    </row>
    <row r="55" spans="1:55" x14ac:dyDescent="0.3">
      <c r="A55">
        <v>20</v>
      </c>
      <c r="B55" t="s">
        <v>95</v>
      </c>
      <c r="C55" t="s">
        <v>102</v>
      </c>
      <c r="D55" t="s">
        <v>130</v>
      </c>
      <c r="E55" t="s">
        <v>140</v>
      </c>
      <c r="F55" t="s">
        <v>171</v>
      </c>
      <c r="G55">
        <v>35500</v>
      </c>
      <c r="H55">
        <v>0</v>
      </c>
      <c r="I55" t="s">
        <v>218</v>
      </c>
      <c r="J55" t="s">
        <v>231</v>
      </c>
      <c r="L55">
        <v>2008</v>
      </c>
      <c r="M55">
        <v>2018</v>
      </c>
      <c r="N55">
        <v>18</v>
      </c>
      <c r="O55">
        <v>44</v>
      </c>
      <c r="R55" t="s">
        <v>233</v>
      </c>
      <c r="S55">
        <v>7.1</v>
      </c>
      <c r="T55">
        <v>4.5</v>
      </c>
      <c r="U55">
        <v>10.5</v>
      </c>
      <c r="V55">
        <v>1.713160972027771</v>
      </c>
      <c r="W55">
        <v>8221.7999999999993</v>
      </c>
      <c r="X55">
        <v>1158</v>
      </c>
      <c r="Y55" t="s">
        <v>236</v>
      </c>
      <c r="Z55">
        <v>1</v>
      </c>
      <c r="AA55">
        <v>0</v>
      </c>
      <c r="AB55">
        <v>0</v>
      </c>
      <c r="AC55">
        <v>95</v>
      </c>
      <c r="AD55" t="s">
        <v>239</v>
      </c>
      <c r="AE55" t="s">
        <v>240</v>
      </c>
      <c r="AF55" t="s">
        <v>246</v>
      </c>
      <c r="AH55" t="s">
        <v>285</v>
      </c>
      <c r="AI55" t="s">
        <v>262</v>
      </c>
      <c r="AJ55" t="s">
        <v>321</v>
      </c>
      <c r="AK55" t="s">
        <v>327</v>
      </c>
      <c r="AL55" t="s">
        <v>361</v>
      </c>
      <c r="AM55" t="s">
        <v>387</v>
      </c>
      <c r="AN55">
        <v>1</v>
      </c>
      <c r="AO55">
        <v>0</v>
      </c>
      <c r="AP55">
        <v>0</v>
      </c>
      <c r="AQ55">
        <v>0</v>
      </c>
      <c r="AR55">
        <v>0</v>
      </c>
      <c r="AS55">
        <v>0</v>
      </c>
      <c r="AT55">
        <v>1</v>
      </c>
      <c r="AU55">
        <v>0</v>
      </c>
      <c r="AV55">
        <v>0</v>
      </c>
      <c r="AW55">
        <v>0</v>
      </c>
      <c r="AX55">
        <v>0</v>
      </c>
      <c r="AY55">
        <v>0</v>
      </c>
      <c r="AZ55">
        <v>0</v>
      </c>
      <c r="BA55">
        <v>0</v>
      </c>
      <c r="BB55">
        <v>0</v>
      </c>
      <c r="BC55">
        <v>0</v>
      </c>
    </row>
    <row r="56" spans="1:55" x14ac:dyDescent="0.3">
      <c r="A56">
        <v>20</v>
      </c>
      <c r="B56" t="s">
        <v>95</v>
      </c>
      <c r="C56" t="s">
        <v>102</v>
      </c>
      <c r="D56" t="s">
        <v>130</v>
      </c>
      <c r="E56" t="s">
        <v>140</v>
      </c>
      <c r="F56" t="s">
        <v>171</v>
      </c>
      <c r="G56">
        <v>35500</v>
      </c>
      <c r="H56">
        <v>0</v>
      </c>
      <c r="I56" t="s">
        <v>218</v>
      </c>
      <c r="J56" t="s">
        <v>231</v>
      </c>
      <c r="L56">
        <v>2008</v>
      </c>
      <c r="M56">
        <v>2018</v>
      </c>
      <c r="N56">
        <v>45</v>
      </c>
      <c r="O56">
        <v>64</v>
      </c>
      <c r="R56" t="s">
        <v>233</v>
      </c>
      <c r="S56">
        <v>3.5</v>
      </c>
      <c r="T56">
        <v>2.8</v>
      </c>
      <c r="U56">
        <v>4.3</v>
      </c>
      <c r="V56">
        <v>0.40478464773525058</v>
      </c>
      <c r="W56">
        <v>3192</v>
      </c>
      <c r="X56">
        <v>912</v>
      </c>
      <c r="Y56" t="s">
        <v>236</v>
      </c>
      <c r="Z56">
        <v>1</v>
      </c>
      <c r="AA56">
        <v>0</v>
      </c>
      <c r="AB56">
        <v>0</v>
      </c>
      <c r="AC56">
        <v>95</v>
      </c>
      <c r="AD56" t="s">
        <v>239</v>
      </c>
      <c r="AE56" t="s">
        <v>240</v>
      </c>
      <c r="AF56" t="s">
        <v>246</v>
      </c>
      <c r="AH56" t="s">
        <v>285</v>
      </c>
      <c r="AI56" t="s">
        <v>262</v>
      </c>
      <c r="AJ56" t="s">
        <v>321</v>
      </c>
      <c r="AK56" t="s">
        <v>327</v>
      </c>
      <c r="AL56" t="s">
        <v>361</v>
      </c>
      <c r="AM56" t="s">
        <v>387</v>
      </c>
      <c r="AN56">
        <v>1</v>
      </c>
      <c r="AO56">
        <v>0</v>
      </c>
      <c r="AP56">
        <v>0</v>
      </c>
      <c r="AQ56">
        <v>0</v>
      </c>
      <c r="AR56">
        <v>0</v>
      </c>
      <c r="AS56">
        <v>0</v>
      </c>
      <c r="AT56">
        <v>1</v>
      </c>
      <c r="AU56">
        <v>0</v>
      </c>
      <c r="AV56">
        <v>0</v>
      </c>
      <c r="AW56">
        <v>0</v>
      </c>
      <c r="AX56">
        <v>0</v>
      </c>
      <c r="AY56">
        <v>0</v>
      </c>
      <c r="AZ56">
        <v>0</v>
      </c>
      <c r="BA56">
        <v>0</v>
      </c>
      <c r="BB56">
        <v>0</v>
      </c>
      <c r="BC56">
        <v>0</v>
      </c>
    </row>
    <row r="57" spans="1:55" x14ac:dyDescent="0.3">
      <c r="A57">
        <v>20</v>
      </c>
      <c r="B57" t="s">
        <v>95</v>
      </c>
      <c r="C57" t="s">
        <v>102</v>
      </c>
      <c r="D57" t="s">
        <v>130</v>
      </c>
      <c r="E57" t="s">
        <v>140</v>
      </c>
      <c r="F57" t="s">
        <v>171</v>
      </c>
      <c r="G57">
        <v>35500</v>
      </c>
      <c r="H57">
        <v>0</v>
      </c>
      <c r="I57" t="s">
        <v>218</v>
      </c>
      <c r="J57" t="s">
        <v>231</v>
      </c>
      <c r="L57">
        <v>2008</v>
      </c>
      <c r="M57">
        <v>2018</v>
      </c>
      <c r="N57">
        <v>65</v>
      </c>
      <c r="O57">
        <v>85</v>
      </c>
      <c r="R57" t="s">
        <v>233</v>
      </c>
      <c r="S57">
        <v>2.2999999999999998</v>
      </c>
      <c r="T57">
        <v>1.9</v>
      </c>
      <c r="U57">
        <v>2.7</v>
      </c>
      <c r="V57">
        <v>0.21570501477602949</v>
      </c>
      <c r="W57">
        <v>584.19999999999993</v>
      </c>
      <c r="X57">
        <v>254</v>
      </c>
      <c r="Y57" t="s">
        <v>236</v>
      </c>
      <c r="Z57">
        <v>1</v>
      </c>
      <c r="AA57">
        <v>0</v>
      </c>
      <c r="AB57">
        <v>0</v>
      </c>
      <c r="AC57">
        <v>95</v>
      </c>
      <c r="AD57" t="s">
        <v>239</v>
      </c>
      <c r="AE57" t="s">
        <v>240</v>
      </c>
      <c r="AF57" t="s">
        <v>246</v>
      </c>
      <c r="AH57" t="s">
        <v>285</v>
      </c>
      <c r="AI57" t="s">
        <v>262</v>
      </c>
      <c r="AJ57" t="s">
        <v>321</v>
      </c>
      <c r="AK57" t="s">
        <v>327</v>
      </c>
      <c r="AL57" t="s">
        <v>361</v>
      </c>
      <c r="AM57" t="s">
        <v>387</v>
      </c>
      <c r="AN57">
        <v>1</v>
      </c>
      <c r="AO57">
        <v>0</v>
      </c>
      <c r="AP57">
        <v>0</v>
      </c>
      <c r="AQ57">
        <v>0</v>
      </c>
      <c r="AR57">
        <v>0</v>
      </c>
      <c r="AS57">
        <v>0</v>
      </c>
      <c r="AT57">
        <v>1</v>
      </c>
      <c r="AU57">
        <v>0</v>
      </c>
      <c r="AV57">
        <v>0</v>
      </c>
      <c r="AW57">
        <v>0</v>
      </c>
      <c r="AX57">
        <v>0</v>
      </c>
      <c r="AY57">
        <v>0</v>
      </c>
      <c r="AZ57">
        <v>0</v>
      </c>
      <c r="BA57">
        <v>0</v>
      </c>
      <c r="BB57">
        <v>0</v>
      </c>
      <c r="BC57">
        <v>0</v>
      </c>
    </row>
    <row r="58" spans="1:55" x14ac:dyDescent="0.3">
      <c r="A58">
        <v>21</v>
      </c>
      <c r="B58" t="s">
        <v>64</v>
      </c>
      <c r="C58" t="s">
        <v>117</v>
      </c>
      <c r="D58" t="s">
        <v>103</v>
      </c>
      <c r="E58" t="s">
        <v>138</v>
      </c>
      <c r="F58" t="s">
        <v>410</v>
      </c>
      <c r="G58">
        <v>84</v>
      </c>
      <c r="H58">
        <v>1</v>
      </c>
      <c r="I58" t="s">
        <v>196</v>
      </c>
      <c r="J58" t="s">
        <v>229</v>
      </c>
      <c r="K58">
        <v>0.53800000000000003</v>
      </c>
      <c r="L58">
        <v>2012</v>
      </c>
      <c r="M58">
        <v>2013</v>
      </c>
      <c r="N58">
        <v>19</v>
      </c>
      <c r="O58">
        <v>24</v>
      </c>
      <c r="R58" t="s">
        <v>232</v>
      </c>
      <c r="S58">
        <v>4.0000000000000001E-3</v>
      </c>
      <c r="T58">
        <v>8.0000000000000004E-4</v>
      </c>
      <c r="U58">
        <v>1.2E-2</v>
      </c>
      <c r="V58">
        <v>4.0817076553972317E-3</v>
      </c>
      <c r="W58">
        <v>2</v>
      </c>
      <c r="X58">
        <v>500</v>
      </c>
      <c r="Y58" t="s">
        <v>236</v>
      </c>
      <c r="Z58">
        <v>1</v>
      </c>
      <c r="AA58">
        <v>0</v>
      </c>
      <c r="AB58">
        <v>0</v>
      </c>
      <c r="AC58">
        <v>95</v>
      </c>
      <c r="AD58" t="s">
        <v>239</v>
      </c>
      <c r="AE58" t="s">
        <v>241</v>
      </c>
      <c r="AF58" t="s">
        <v>243</v>
      </c>
      <c r="AH58" t="s">
        <v>248</v>
      </c>
      <c r="AI58" t="s">
        <v>258</v>
      </c>
      <c r="AJ58" t="s">
        <v>291</v>
      </c>
      <c r="AK58" t="s">
        <v>325</v>
      </c>
      <c r="AL58" t="s">
        <v>353</v>
      </c>
      <c r="AM58" t="s">
        <v>379</v>
      </c>
      <c r="AN58">
        <v>0</v>
      </c>
      <c r="AO58">
        <v>1</v>
      </c>
      <c r="AP58">
        <v>1</v>
      </c>
      <c r="AQ58">
        <v>0</v>
      </c>
      <c r="AR58">
        <v>0</v>
      </c>
      <c r="AS58">
        <v>0</v>
      </c>
      <c r="AT58">
        <v>0</v>
      </c>
      <c r="AU58">
        <v>0</v>
      </c>
      <c r="AV58">
        <v>1</v>
      </c>
      <c r="AW58">
        <v>0</v>
      </c>
      <c r="AX58">
        <v>0</v>
      </c>
      <c r="AY58">
        <v>0</v>
      </c>
      <c r="AZ58">
        <v>0</v>
      </c>
      <c r="BA58">
        <v>1</v>
      </c>
      <c r="BB58">
        <v>0</v>
      </c>
      <c r="BC58">
        <v>0</v>
      </c>
    </row>
    <row r="59" spans="1:55" x14ac:dyDescent="0.3">
      <c r="A59">
        <v>21</v>
      </c>
      <c r="B59" t="s">
        <v>64</v>
      </c>
      <c r="C59" t="s">
        <v>117</v>
      </c>
      <c r="D59" t="s">
        <v>103</v>
      </c>
      <c r="E59" t="s">
        <v>138</v>
      </c>
      <c r="F59" t="s">
        <v>410</v>
      </c>
      <c r="G59">
        <v>84</v>
      </c>
      <c r="H59">
        <v>1</v>
      </c>
      <c r="I59" t="s">
        <v>196</v>
      </c>
      <c r="J59" t="s">
        <v>229</v>
      </c>
      <c r="K59">
        <v>0.53800000000000003</v>
      </c>
      <c r="L59">
        <v>2012</v>
      </c>
      <c r="M59">
        <v>2013</v>
      </c>
      <c r="N59">
        <v>19</v>
      </c>
      <c r="O59">
        <v>24</v>
      </c>
      <c r="R59" t="s">
        <v>232</v>
      </c>
      <c r="S59">
        <v>1.4999999999999999E-2</v>
      </c>
      <c r="T59">
        <v>7.0000000000000001E-3</v>
      </c>
      <c r="U59">
        <v>2.5999999999999999E-2</v>
      </c>
      <c r="V59">
        <v>5.6123480261711933E-3</v>
      </c>
      <c r="W59">
        <v>3</v>
      </c>
      <c r="X59">
        <v>200</v>
      </c>
      <c r="Y59" t="s">
        <v>236</v>
      </c>
      <c r="Z59">
        <v>1</v>
      </c>
      <c r="AA59">
        <v>0</v>
      </c>
      <c r="AB59">
        <v>0</v>
      </c>
      <c r="AC59">
        <v>95</v>
      </c>
      <c r="AD59" t="s">
        <v>239</v>
      </c>
      <c r="AE59" t="s">
        <v>241</v>
      </c>
      <c r="AF59" t="s">
        <v>243</v>
      </c>
      <c r="AH59" t="s">
        <v>249</v>
      </c>
      <c r="AI59" t="s">
        <v>253</v>
      </c>
      <c r="AJ59" t="s">
        <v>291</v>
      </c>
      <c r="AK59" t="s">
        <v>325</v>
      </c>
      <c r="AL59" t="s">
        <v>353</v>
      </c>
      <c r="AM59" t="s">
        <v>379</v>
      </c>
      <c r="AN59">
        <v>0</v>
      </c>
      <c r="AO59">
        <v>1</v>
      </c>
      <c r="AP59">
        <v>0</v>
      </c>
      <c r="AQ59">
        <v>1</v>
      </c>
      <c r="AR59">
        <v>0</v>
      </c>
      <c r="AS59">
        <v>0</v>
      </c>
      <c r="AT59">
        <v>0</v>
      </c>
      <c r="AU59">
        <v>0</v>
      </c>
      <c r="AV59">
        <v>1</v>
      </c>
      <c r="AW59">
        <v>0</v>
      </c>
      <c r="AX59">
        <v>0</v>
      </c>
      <c r="AY59">
        <v>0</v>
      </c>
      <c r="AZ59">
        <v>0</v>
      </c>
      <c r="BA59">
        <v>0</v>
      </c>
      <c r="BB59">
        <v>1</v>
      </c>
      <c r="BC59">
        <v>0</v>
      </c>
    </row>
    <row r="60" spans="1:55" x14ac:dyDescent="0.3">
      <c r="A60">
        <v>22</v>
      </c>
      <c r="B60" t="s">
        <v>57</v>
      </c>
      <c r="C60" t="s">
        <v>109</v>
      </c>
      <c r="D60" t="s">
        <v>130</v>
      </c>
      <c r="E60" t="s">
        <v>138</v>
      </c>
      <c r="F60" t="s">
        <v>156</v>
      </c>
      <c r="G60">
        <v>35498</v>
      </c>
      <c r="H60">
        <v>0</v>
      </c>
      <c r="I60" t="s">
        <v>190</v>
      </c>
      <c r="J60" t="s">
        <v>230</v>
      </c>
      <c r="L60">
        <v>1974</v>
      </c>
      <c r="M60">
        <v>1982</v>
      </c>
      <c r="N60">
        <v>15</v>
      </c>
      <c r="O60">
        <v>99</v>
      </c>
      <c r="R60" t="s">
        <v>232</v>
      </c>
      <c r="S60">
        <v>8.5000000000000006E-2</v>
      </c>
      <c r="T60">
        <v>6.5884414482534875E-2</v>
      </c>
      <c r="U60">
        <v>0.1090144910465527</v>
      </c>
      <c r="V60">
        <v>1.10680999305113E-2</v>
      </c>
      <c r="W60">
        <v>55</v>
      </c>
      <c r="X60">
        <v>647</v>
      </c>
      <c r="Y60" t="s">
        <v>236</v>
      </c>
      <c r="Z60">
        <v>1</v>
      </c>
      <c r="AA60">
        <v>0</v>
      </c>
      <c r="AB60">
        <v>0</v>
      </c>
      <c r="AC60">
        <v>95</v>
      </c>
      <c r="AD60" t="s">
        <v>239</v>
      </c>
      <c r="AE60" t="s">
        <v>242</v>
      </c>
      <c r="AF60" t="s">
        <v>243</v>
      </c>
      <c r="AH60" t="s">
        <v>265</v>
      </c>
      <c r="AI60" t="s">
        <v>262</v>
      </c>
      <c r="AJ60" t="s">
        <v>300</v>
      </c>
      <c r="AK60" t="s">
        <v>7</v>
      </c>
      <c r="AL60" t="s">
        <v>346</v>
      </c>
      <c r="AM60" t="s">
        <v>381</v>
      </c>
      <c r="AN60">
        <v>1</v>
      </c>
      <c r="AO60">
        <v>0</v>
      </c>
      <c r="AP60">
        <v>0</v>
      </c>
      <c r="AQ60">
        <v>0</v>
      </c>
      <c r="AR60">
        <v>0</v>
      </c>
      <c r="AS60">
        <v>0</v>
      </c>
      <c r="AT60">
        <v>0</v>
      </c>
      <c r="AU60">
        <v>0</v>
      </c>
      <c r="AV60">
        <v>0</v>
      </c>
      <c r="AW60">
        <v>0</v>
      </c>
      <c r="AX60">
        <v>0</v>
      </c>
      <c r="AY60">
        <v>0</v>
      </c>
      <c r="AZ60">
        <v>0</v>
      </c>
      <c r="BA60">
        <v>0</v>
      </c>
      <c r="BB60">
        <v>0</v>
      </c>
      <c r="BC60">
        <v>1</v>
      </c>
    </row>
    <row r="61" spans="1:55" x14ac:dyDescent="0.3">
      <c r="A61">
        <v>22</v>
      </c>
      <c r="B61" t="s">
        <v>57</v>
      </c>
      <c r="C61" t="s">
        <v>109</v>
      </c>
      <c r="D61" t="s">
        <v>130</v>
      </c>
      <c r="E61" t="s">
        <v>138</v>
      </c>
      <c r="F61" t="s">
        <v>156</v>
      </c>
      <c r="G61">
        <v>35498</v>
      </c>
      <c r="H61">
        <v>0</v>
      </c>
      <c r="I61" t="s">
        <v>190</v>
      </c>
      <c r="J61" t="s">
        <v>231</v>
      </c>
      <c r="L61">
        <v>1974</v>
      </c>
      <c r="M61">
        <v>1982</v>
      </c>
      <c r="N61">
        <v>15</v>
      </c>
      <c r="O61">
        <v>99</v>
      </c>
      <c r="R61" t="s">
        <v>232</v>
      </c>
      <c r="S61">
        <v>2.3099999999999999E-2</v>
      </c>
      <c r="T61">
        <v>1.425513085101643E-2</v>
      </c>
      <c r="U61">
        <v>3.7225590525024783E-2</v>
      </c>
      <c r="V61">
        <v>5.8925429300667057E-3</v>
      </c>
      <c r="W61">
        <v>16</v>
      </c>
      <c r="X61">
        <v>690</v>
      </c>
      <c r="Y61" t="s">
        <v>236</v>
      </c>
      <c r="Z61">
        <v>1</v>
      </c>
      <c r="AA61">
        <v>0</v>
      </c>
      <c r="AB61">
        <v>0</v>
      </c>
      <c r="AC61">
        <v>95</v>
      </c>
      <c r="AD61" t="s">
        <v>239</v>
      </c>
      <c r="AE61" t="s">
        <v>242</v>
      </c>
      <c r="AF61" t="s">
        <v>243</v>
      </c>
      <c r="AH61" t="s">
        <v>265</v>
      </c>
      <c r="AI61" t="s">
        <v>262</v>
      </c>
      <c r="AJ61" t="s">
        <v>300</v>
      </c>
      <c r="AK61" t="s">
        <v>7</v>
      </c>
      <c r="AL61" t="s">
        <v>346</v>
      </c>
      <c r="AM61" t="s">
        <v>381</v>
      </c>
      <c r="AN61">
        <v>1</v>
      </c>
      <c r="AO61">
        <v>0</v>
      </c>
      <c r="AP61">
        <v>0</v>
      </c>
      <c r="AQ61">
        <v>0</v>
      </c>
      <c r="AR61">
        <v>0</v>
      </c>
      <c r="AS61">
        <v>0</v>
      </c>
      <c r="AT61">
        <v>0</v>
      </c>
      <c r="AU61">
        <v>0</v>
      </c>
      <c r="AV61">
        <v>0</v>
      </c>
      <c r="AW61">
        <v>0</v>
      </c>
      <c r="AX61">
        <v>0</v>
      </c>
      <c r="AY61">
        <v>0</v>
      </c>
      <c r="AZ61">
        <v>0</v>
      </c>
      <c r="BA61">
        <v>0</v>
      </c>
      <c r="BB61">
        <v>0</v>
      </c>
      <c r="BC61">
        <v>1</v>
      </c>
    </row>
    <row r="62" spans="1:55" x14ac:dyDescent="0.3">
      <c r="A62">
        <v>23</v>
      </c>
      <c r="B62" t="s">
        <v>84</v>
      </c>
      <c r="C62" t="s">
        <v>104</v>
      </c>
      <c r="D62" t="s">
        <v>133</v>
      </c>
      <c r="E62" t="s">
        <v>141</v>
      </c>
      <c r="F62" t="s">
        <v>167</v>
      </c>
      <c r="G62">
        <v>90</v>
      </c>
      <c r="H62">
        <v>1</v>
      </c>
      <c r="I62" t="s">
        <v>210</v>
      </c>
      <c r="J62" t="s">
        <v>230</v>
      </c>
      <c r="L62">
        <v>1980</v>
      </c>
      <c r="M62">
        <v>2006</v>
      </c>
      <c r="N62">
        <v>18</v>
      </c>
      <c r="O62">
        <v>49</v>
      </c>
      <c r="R62" t="s">
        <v>233</v>
      </c>
      <c r="S62">
        <v>5.2</v>
      </c>
      <c r="T62">
        <v>3.5</v>
      </c>
      <c r="U62">
        <v>7.8</v>
      </c>
      <c r="V62">
        <v>1.1795090865580149</v>
      </c>
      <c r="W62">
        <v>23</v>
      </c>
      <c r="X62">
        <v>4.4230769230769234</v>
      </c>
      <c r="Y62" t="s">
        <v>236</v>
      </c>
      <c r="Z62">
        <v>1</v>
      </c>
      <c r="AA62">
        <v>0</v>
      </c>
      <c r="AB62">
        <v>0</v>
      </c>
      <c r="AC62">
        <v>95</v>
      </c>
      <c r="AD62" t="s">
        <v>239</v>
      </c>
      <c r="AE62" t="s">
        <v>240</v>
      </c>
      <c r="AF62" t="s">
        <v>246</v>
      </c>
      <c r="AH62" t="s">
        <v>277</v>
      </c>
      <c r="AI62" t="s">
        <v>262</v>
      </c>
      <c r="AJ62" t="s">
        <v>311</v>
      </c>
      <c r="AK62" t="s">
        <v>327</v>
      </c>
      <c r="AL62" t="s">
        <v>361</v>
      </c>
      <c r="AM62" t="s">
        <v>333</v>
      </c>
      <c r="AN62">
        <v>1</v>
      </c>
      <c r="AO62">
        <v>0</v>
      </c>
      <c r="AP62">
        <v>0</v>
      </c>
      <c r="AQ62">
        <v>0</v>
      </c>
      <c r="AR62">
        <v>1</v>
      </c>
      <c r="AS62">
        <v>0</v>
      </c>
      <c r="AT62">
        <v>0</v>
      </c>
      <c r="AU62">
        <v>1</v>
      </c>
      <c r="AV62">
        <v>0</v>
      </c>
      <c r="AW62">
        <v>0</v>
      </c>
      <c r="AX62">
        <v>0</v>
      </c>
      <c r="AY62">
        <v>0</v>
      </c>
      <c r="AZ62">
        <v>0</v>
      </c>
      <c r="BA62">
        <v>0</v>
      </c>
      <c r="BB62">
        <v>0</v>
      </c>
      <c r="BC62">
        <v>0</v>
      </c>
    </row>
    <row r="63" spans="1:55" x14ac:dyDescent="0.3">
      <c r="A63">
        <v>23</v>
      </c>
      <c r="B63" t="s">
        <v>84</v>
      </c>
      <c r="C63" t="s">
        <v>104</v>
      </c>
      <c r="D63" t="s">
        <v>133</v>
      </c>
      <c r="E63" t="s">
        <v>141</v>
      </c>
      <c r="F63" t="s">
        <v>167</v>
      </c>
      <c r="G63">
        <v>90</v>
      </c>
      <c r="H63">
        <v>1</v>
      </c>
      <c r="I63" t="s">
        <v>210</v>
      </c>
      <c r="J63" t="s">
        <v>231</v>
      </c>
      <c r="L63">
        <v>1980</v>
      </c>
      <c r="M63">
        <v>2006</v>
      </c>
      <c r="N63">
        <v>18</v>
      </c>
      <c r="O63">
        <v>49</v>
      </c>
      <c r="R63" t="s">
        <v>233</v>
      </c>
      <c r="S63">
        <v>5.8</v>
      </c>
      <c r="T63">
        <v>3.2</v>
      </c>
      <c r="U63">
        <v>10.5</v>
      </c>
      <c r="V63">
        <v>2.0536780934499612</v>
      </c>
      <c r="W63">
        <v>11</v>
      </c>
      <c r="X63">
        <v>1.896551724137931</v>
      </c>
      <c r="Y63" t="s">
        <v>236</v>
      </c>
      <c r="Z63">
        <v>1</v>
      </c>
      <c r="AA63">
        <v>0</v>
      </c>
      <c r="AB63">
        <v>0</v>
      </c>
      <c r="AC63">
        <v>95</v>
      </c>
      <c r="AD63" t="s">
        <v>239</v>
      </c>
      <c r="AE63" t="s">
        <v>240</v>
      </c>
      <c r="AF63" t="s">
        <v>246</v>
      </c>
      <c r="AH63" t="s">
        <v>277</v>
      </c>
      <c r="AI63" t="s">
        <v>262</v>
      </c>
      <c r="AJ63" t="s">
        <v>311</v>
      </c>
      <c r="AK63" t="s">
        <v>327</v>
      </c>
      <c r="AL63" t="s">
        <v>361</v>
      </c>
      <c r="AM63" t="s">
        <v>333</v>
      </c>
      <c r="AN63">
        <v>1</v>
      </c>
      <c r="AO63">
        <v>0</v>
      </c>
      <c r="AP63">
        <v>0</v>
      </c>
      <c r="AQ63">
        <v>0</v>
      </c>
      <c r="AR63">
        <v>1</v>
      </c>
      <c r="AS63">
        <v>0</v>
      </c>
      <c r="AT63">
        <v>0</v>
      </c>
      <c r="AU63">
        <v>1</v>
      </c>
      <c r="AV63">
        <v>0</v>
      </c>
      <c r="AW63">
        <v>0</v>
      </c>
      <c r="AX63">
        <v>0</v>
      </c>
      <c r="AY63">
        <v>0</v>
      </c>
      <c r="AZ63">
        <v>0</v>
      </c>
      <c r="BA63">
        <v>0</v>
      </c>
      <c r="BB63">
        <v>0</v>
      </c>
      <c r="BC63">
        <v>0</v>
      </c>
    </row>
    <row r="64" spans="1:55" x14ac:dyDescent="0.3">
      <c r="A64">
        <v>23</v>
      </c>
      <c r="B64" t="s">
        <v>84</v>
      </c>
      <c r="C64" t="s">
        <v>104</v>
      </c>
      <c r="D64" t="s">
        <v>133</v>
      </c>
      <c r="E64" t="s">
        <v>141</v>
      </c>
      <c r="F64" t="s">
        <v>167</v>
      </c>
      <c r="G64">
        <v>90</v>
      </c>
      <c r="H64">
        <v>1</v>
      </c>
      <c r="I64" t="s">
        <v>210</v>
      </c>
      <c r="J64" t="s">
        <v>230</v>
      </c>
      <c r="L64">
        <v>1980</v>
      </c>
      <c r="M64">
        <v>2006</v>
      </c>
      <c r="N64">
        <v>50</v>
      </c>
      <c r="O64">
        <v>99</v>
      </c>
      <c r="R64" t="s">
        <v>233</v>
      </c>
      <c r="S64">
        <v>3.6</v>
      </c>
      <c r="T64">
        <v>2.4</v>
      </c>
      <c r="U64">
        <v>5.7</v>
      </c>
      <c r="V64">
        <v>0.88886781017860128</v>
      </c>
      <c r="W64">
        <v>18</v>
      </c>
      <c r="X64">
        <v>5</v>
      </c>
      <c r="Y64" t="s">
        <v>236</v>
      </c>
      <c r="Z64">
        <v>1</v>
      </c>
      <c r="AA64">
        <v>0</v>
      </c>
      <c r="AB64">
        <v>0</v>
      </c>
      <c r="AC64">
        <v>95</v>
      </c>
      <c r="AD64" t="s">
        <v>239</v>
      </c>
      <c r="AE64" t="s">
        <v>240</v>
      </c>
      <c r="AF64" t="s">
        <v>246</v>
      </c>
      <c r="AH64" t="s">
        <v>277</v>
      </c>
      <c r="AI64" t="s">
        <v>262</v>
      </c>
      <c r="AJ64" t="s">
        <v>311</v>
      </c>
      <c r="AK64" t="s">
        <v>327</v>
      </c>
      <c r="AL64" t="s">
        <v>361</v>
      </c>
      <c r="AM64" t="s">
        <v>333</v>
      </c>
      <c r="AN64">
        <v>1</v>
      </c>
      <c r="AO64">
        <v>0</v>
      </c>
      <c r="AP64">
        <v>0</v>
      </c>
      <c r="AQ64">
        <v>0</v>
      </c>
      <c r="AR64">
        <v>1</v>
      </c>
      <c r="AS64">
        <v>0</v>
      </c>
      <c r="AT64">
        <v>0</v>
      </c>
      <c r="AU64">
        <v>1</v>
      </c>
      <c r="AV64">
        <v>0</v>
      </c>
      <c r="AW64">
        <v>0</v>
      </c>
      <c r="AX64">
        <v>0</v>
      </c>
      <c r="AY64">
        <v>0</v>
      </c>
      <c r="AZ64">
        <v>0</v>
      </c>
      <c r="BA64">
        <v>0</v>
      </c>
      <c r="BB64">
        <v>0</v>
      </c>
      <c r="BC64">
        <v>0</v>
      </c>
    </row>
    <row r="65" spans="1:55" x14ac:dyDescent="0.3">
      <c r="A65">
        <v>23</v>
      </c>
      <c r="B65" t="s">
        <v>84</v>
      </c>
      <c r="C65" t="s">
        <v>104</v>
      </c>
      <c r="D65" t="s">
        <v>133</v>
      </c>
      <c r="E65" t="s">
        <v>141</v>
      </c>
      <c r="F65" t="s">
        <v>167</v>
      </c>
      <c r="G65">
        <v>90</v>
      </c>
      <c r="H65">
        <v>1</v>
      </c>
      <c r="I65" t="s">
        <v>210</v>
      </c>
      <c r="J65" t="s">
        <v>231</v>
      </c>
      <c r="L65">
        <v>1980</v>
      </c>
      <c r="M65">
        <v>2006</v>
      </c>
      <c r="N65">
        <v>50</v>
      </c>
      <c r="O65">
        <v>99</v>
      </c>
      <c r="R65" t="s">
        <v>233</v>
      </c>
      <c r="S65">
        <v>1.9</v>
      </c>
      <c r="T65">
        <v>1</v>
      </c>
      <c r="U65">
        <v>3.5</v>
      </c>
      <c r="V65">
        <v>0.71546564504587906</v>
      </c>
      <c r="W65">
        <v>10</v>
      </c>
      <c r="X65">
        <v>5.2631578947368416</v>
      </c>
      <c r="Y65" t="s">
        <v>236</v>
      </c>
      <c r="Z65">
        <v>1</v>
      </c>
      <c r="AA65">
        <v>0</v>
      </c>
      <c r="AB65">
        <v>0</v>
      </c>
      <c r="AC65">
        <v>95</v>
      </c>
      <c r="AD65" t="s">
        <v>239</v>
      </c>
      <c r="AE65" t="s">
        <v>240</v>
      </c>
      <c r="AF65" t="s">
        <v>246</v>
      </c>
      <c r="AH65" t="s">
        <v>277</v>
      </c>
      <c r="AI65" t="s">
        <v>262</v>
      </c>
      <c r="AJ65" t="s">
        <v>311</v>
      </c>
      <c r="AK65" t="s">
        <v>327</v>
      </c>
      <c r="AL65" t="s">
        <v>361</v>
      </c>
      <c r="AM65" t="s">
        <v>333</v>
      </c>
      <c r="AN65">
        <v>1</v>
      </c>
      <c r="AO65">
        <v>0</v>
      </c>
      <c r="AP65">
        <v>0</v>
      </c>
      <c r="AQ65">
        <v>0</v>
      </c>
      <c r="AR65">
        <v>1</v>
      </c>
      <c r="AS65">
        <v>0</v>
      </c>
      <c r="AT65">
        <v>0</v>
      </c>
      <c r="AU65">
        <v>1</v>
      </c>
      <c r="AV65">
        <v>0</v>
      </c>
      <c r="AW65">
        <v>0</v>
      </c>
      <c r="AX65">
        <v>0</v>
      </c>
      <c r="AY65">
        <v>0</v>
      </c>
      <c r="AZ65">
        <v>0</v>
      </c>
      <c r="BA65">
        <v>0</v>
      </c>
      <c r="BB65">
        <v>0</v>
      </c>
      <c r="BC65">
        <v>0</v>
      </c>
    </row>
    <row r="66" spans="1:55" x14ac:dyDescent="0.3">
      <c r="A66">
        <v>24</v>
      </c>
      <c r="B66" t="s">
        <v>405</v>
      </c>
      <c r="C66">
        <v>5</v>
      </c>
      <c r="E66" t="s">
        <v>138</v>
      </c>
      <c r="F66" t="s">
        <v>167</v>
      </c>
      <c r="G66">
        <v>90</v>
      </c>
      <c r="H66">
        <v>0</v>
      </c>
      <c r="I66" t="s">
        <v>181</v>
      </c>
      <c r="J66" t="s">
        <v>229</v>
      </c>
      <c r="K66">
        <v>0.6</v>
      </c>
      <c r="L66">
        <v>2009</v>
      </c>
      <c r="M66">
        <v>2015</v>
      </c>
      <c r="N66">
        <v>20</v>
      </c>
      <c r="O66">
        <v>79</v>
      </c>
      <c r="P66">
        <v>39</v>
      </c>
      <c r="R66" t="s">
        <v>233</v>
      </c>
      <c r="S66">
        <v>3.8</v>
      </c>
      <c r="T66">
        <v>3.6</v>
      </c>
      <c r="U66">
        <v>4</v>
      </c>
      <c r="V66">
        <v>0.1035220806501381</v>
      </c>
      <c r="W66">
        <v>890</v>
      </c>
      <c r="X66">
        <v>32885</v>
      </c>
      <c r="Y66" t="s">
        <v>237</v>
      </c>
      <c r="Z66">
        <v>1</v>
      </c>
      <c r="AA66">
        <v>0</v>
      </c>
      <c r="AB66">
        <v>0</v>
      </c>
      <c r="AC66">
        <v>95</v>
      </c>
      <c r="AD66" t="s">
        <v>238</v>
      </c>
      <c r="AE66" t="s">
        <v>240</v>
      </c>
      <c r="AF66" t="s">
        <v>246</v>
      </c>
      <c r="AH66" t="s">
        <v>403</v>
      </c>
      <c r="AI66" t="s">
        <v>262</v>
      </c>
      <c r="AJ66" t="s">
        <v>320</v>
      </c>
      <c r="AK66" t="s">
        <v>323</v>
      </c>
      <c r="AL66" t="s">
        <v>364</v>
      </c>
      <c r="AM66" t="s">
        <v>404</v>
      </c>
      <c r="AN66">
        <v>0</v>
      </c>
      <c r="AO66">
        <v>0</v>
      </c>
      <c r="AP66">
        <v>0</v>
      </c>
      <c r="AQ66">
        <v>0</v>
      </c>
      <c r="AR66">
        <v>0</v>
      </c>
      <c r="AS66">
        <v>0</v>
      </c>
      <c r="AT66">
        <v>1</v>
      </c>
      <c r="AU66">
        <v>0</v>
      </c>
      <c r="AV66">
        <v>0</v>
      </c>
      <c r="AW66">
        <v>0</v>
      </c>
      <c r="AX66">
        <v>0</v>
      </c>
      <c r="AY66">
        <v>0</v>
      </c>
      <c r="AZ66">
        <v>0</v>
      </c>
      <c r="BA66">
        <v>0</v>
      </c>
      <c r="BB66">
        <v>0</v>
      </c>
      <c r="BC66">
        <v>0</v>
      </c>
    </row>
    <row r="67" spans="1:55" x14ac:dyDescent="0.3">
      <c r="A67">
        <v>25</v>
      </c>
      <c r="B67" t="s">
        <v>49</v>
      </c>
      <c r="C67" t="s">
        <v>102</v>
      </c>
      <c r="D67" t="s">
        <v>130</v>
      </c>
      <c r="E67" t="s">
        <v>137</v>
      </c>
      <c r="F67" t="s">
        <v>174</v>
      </c>
      <c r="G67">
        <v>125</v>
      </c>
      <c r="H67">
        <v>0</v>
      </c>
      <c r="I67" t="s">
        <v>225</v>
      </c>
      <c r="J67" t="s">
        <v>229</v>
      </c>
      <c r="K67">
        <v>0.56169999999999998</v>
      </c>
      <c r="L67">
        <v>2003</v>
      </c>
      <c r="M67">
        <v>2003</v>
      </c>
      <c r="N67">
        <v>18</v>
      </c>
      <c r="O67">
        <v>65</v>
      </c>
      <c r="P67">
        <v>36.700000000000003</v>
      </c>
      <c r="R67" t="s">
        <v>232</v>
      </c>
      <c r="S67">
        <v>7.9000000000000001E-2</v>
      </c>
      <c r="T67">
        <v>5.7440396170059409E-2</v>
      </c>
      <c r="U67">
        <v>0.1005596038299406</v>
      </c>
      <c r="V67">
        <v>1.0999999999999999E-2</v>
      </c>
      <c r="W67">
        <v>188.09899999999999</v>
      </c>
      <c r="X67">
        <v>2381</v>
      </c>
      <c r="Y67" t="s">
        <v>236</v>
      </c>
      <c r="Z67">
        <v>1</v>
      </c>
      <c r="AA67">
        <v>0</v>
      </c>
      <c r="AB67">
        <v>0</v>
      </c>
      <c r="AC67">
        <v>95</v>
      </c>
      <c r="AD67" t="s">
        <v>238</v>
      </c>
      <c r="AE67" t="s">
        <v>241</v>
      </c>
      <c r="AF67" t="s">
        <v>243</v>
      </c>
      <c r="AG67">
        <v>0.877</v>
      </c>
      <c r="AH67" t="s">
        <v>247</v>
      </c>
      <c r="AI67" t="s">
        <v>262</v>
      </c>
      <c r="AJ67" t="s">
        <v>290</v>
      </c>
      <c r="AK67" t="s">
        <v>328</v>
      </c>
      <c r="AL67" t="s">
        <v>335</v>
      </c>
      <c r="AM67" t="s">
        <v>375</v>
      </c>
      <c r="AN67">
        <v>0</v>
      </c>
      <c r="AO67">
        <v>0</v>
      </c>
      <c r="AP67">
        <v>0</v>
      </c>
      <c r="AQ67">
        <v>0</v>
      </c>
      <c r="AR67">
        <v>0</v>
      </c>
      <c r="AS67">
        <v>0</v>
      </c>
      <c r="AT67">
        <v>0</v>
      </c>
      <c r="AU67">
        <v>0</v>
      </c>
      <c r="AV67">
        <v>0</v>
      </c>
      <c r="AW67">
        <v>1</v>
      </c>
      <c r="AX67">
        <v>0</v>
      </c>
      <c r="AY67">
        <v>0</v>
      </c>
      <c r="AZ67">
        <v>0</v>
      </c>
      <c r="BA67">
        <v>0</v>
      </c>
      <c r="BB67">
        <v>0</v>
      </c>
      <c r="BC67">
        <v>0</v>
      </c>
    </row>
    <row r="68" spans="1:55" x14ac:dyDescent="0.3">
      <c r="A68">
        <v>25</v>
      </c>
      <c r="B68" t="s">
        <v>49</v>
      </c>
      <c r="C68" t="s">
        <v>102</v>
      </c>
      <c r="D68" t="s">
        <v>130</v>
      </c>
      <c r="E68" t="s">
        <v>137</v>
      </c>
      <c r="F68" t="s">
        <v>176</v>
      </c>
      <c r="G68">
        <v>130</v>
      </c>
      <c r="H68">
        <v>0</v>
      </c>
      <c r="I68" t="s">
        <v>226</v>
      </c>
      <c r="J68" t="s">
        <v>229</v>
      </c>
      <c r="K68">
        <v>0.52300000000000002</v>
      </c>
      <c r="L68">
        <v>2001</v>
      </c>
      <c r="M68">
        <v>2002</v>
      </c>
      <c r="N68">
        <v>18</v>
      </c>
      <c r="O68">
        <v>65</v>
      </c>
      <c r="P68">
        <v>35.299999999999997</v>
      </c>
      <c r="R68" t="s">
        <v>232</v>
      </c>
      <c r="S68">
        <v>6.0999999999999999E-2</v>
      </c>
      <c r="T68">
        <v>4.5320288123679567E-2</v>
      </c>
      <c r="U68">
        <v>7.6679711876320431E-2</v>
      </c>
      <c r="V68">
        <v>8.0000000000000002E-3</v>
      </c>
      <c r="W68">
        <v>144.08199999999999</v>
      </c>
      <c r="X68">
        <v>2362</v>
      </c>
      <c r="Y68" t="s">
        <v>236</v>
      </c>
      <c r="Z68">
        <v>1</v>
      </c>
      <c r="AA68">
        <v>0</v>
      </c>
      <c r="AB68">
        <v>0</v>
      </c>
      <c r="AC68">
        <v>95</v>
      </c>
      <c r="AD68" t="s">
        <v>238</v>
      </c>
      <c r="AE68" t="s">
        <v>241</v>
      </c>
      <c r="AF68" t="s">
        <v>243</v>
      </c>
      <c r="AG68">
        <v>0.76600000000000001</v>
      </c>
      <c r="AH68" t="s">
        <v>247</v>
      </c>
      <c r="AI68" t="s">
        <v>262</v>
      </c>
      <c r="AJ68" t="s">
        <v>290</v>
      </c>
      <c r="AK68" t="s">
        <v>328</v>
      </c>
      <c r="AL68" t="s">
        <v>335</v>
      </c>
      <c r="AM68" t="s">
        <v>375</v>
      </c>
      <c r="AN68">
        <v>0</v>
      </c>
      <c r="AO68">
        <v>0</v>
      </c>
      <c r="AP68">
        <v>0</v>
      </c>
      <c r="AQ68">
        <v>0</v>
      </c>
      <c r="AR68">
        <v>0</v>
      </c>
      <c r="AS68">
        <v>0</v>
      </c>
      <c r="AT68">
        <v>0</v>
      </c>
      <c r="AU68">
        <v>0</v>
      </c>
      <c r="AV68">
        <v>0</v>
      </c>
      <c r="AW68">
        <v>1</v>
      </c>
      <c r="AX68">
        <v>0</v>
      </c>
      <c r="AY68">
        <v>0</v>
      </c>
      <c r="AZ68">
        <v>0</v>
      </c>
      <c r="BA68">
        <v>0</v>
      </c>
      <c r="BB68">
        <v>0</v>
      </c>
      <c r="BC68">
        <v>0</v>
      </c>
    </row>
    <row r="69" spans="1:55" x14ac:dyDescent="0.3">
      <c r="A69">
        <v>25</v>
      </c>
      <c r="B69" t="s">
        <v>49</v>
      </c>
      <c r="C69" t="s">
        <v>102</v>
      </c>
      <c r="D69" t="s">
        <v>130</v>
      </c>
      <c r="E69" t="s">
        <v>137</v>
      </c>
      <c r="F69" t="s">
        <v>179</v>
      </c>
      <c r="G69">
        <v>196</v>
      </c>
      <c r="H69">
        <v>1</v>
      </c>
      <c r="I69" t="s">
        <v>181</v>
      </c>
      <c r="J69" t="s">
        <v>229</v>
      </c>
      <c r="K69">
        <v>0.53700000000000003</v>
      </c>
      <c r="L69">
        <v>2003</v>
      </c>
      <c r="M69">
        <v>2004</v>
      </c>
      <c r="N69">
        <v>20</v>
      </c>
      <c r="O69">
        <v>99</v>
      </c>
      <c r="P69">
        <v>39.700000000000003</v>
      </c>
      <c r="R69" t="s">
        <v>232</v>
      </c>
      <c r="S69">
        <v>6.8000000000000005E-2</v>
      </c>
      <c r="T69">
        <v>5.4280252108219629E-2</v>
      </c>
      <c r="U69">
        <v>8.1719747891780381E-2</v>
      </c>
      <c r="V69">
        <v>7.0000000000000001E-3</v>
      </c>
      <c r="W69">
        <v>293.42</v>
      </c>
      <c r="X69">
        <v>4315</v>
      </c>
      <c r="Y69" t="s">
        <v>236</v>
      </c>
      <c r="Z69">
        <v>1</v>
      </c>
      <c r="AA69">
        <v>0</v>
      </c>
      <c r="AB69">
        <v>0</v>
      </c>
      <c r="AC69">
        <v>95</v>
      </c>
      <c r="AD69" t="s">
        <v>238</v>
      </c>
      <c r="AE69" t="s">
        <v>240</v>
      </c>
      <c r="AF69" t="s">
        <v>243</v>
      </c>
      <c r="AG69">
        <v>0.871</v>
      </c>
      <c r="AH69" t="s">
        <v>247</v>
      </c>
      <c r="AI69" t="s">
        <v>262</v>
      </c>
      <c r="AJ69" t="s">
        <v>290</v>
      </c>
      <c r="AK69" t="s">
        <v>328</v>
      </c>
      <c r="AL69" t="s">
        <v>335</v>
      </c>
      <c r="AM69" t="s">
        <v>375</v>
      </c>
      <c r="AN69">
        <v>0</v>
      </c>
      <c r="AO69">
        <v>0</v>
      </c>
      <c r="AP69">
        <v>0</v>
      </c>
      <c r="AQ69">
        <v>0</v>
      </c>
      <c r="AR69">
        <v>0</v>
      </c>
      <c r="AS69">
        <v>0</v>
      </c>
      <c r="AT69">
        <v>0</v>
      </c>
      <c r="AU69">
        <v>0</v>
      </c>
      <c r="AV69">
        <v>0</v>
      </c>
      <c r="AW69">
        <v>1</v>
      </c>
      <c r="AX69">
        <v>0</v>
      </c>
      <c r="AY69">
        <v>0</v>
      </c>
      <c r="AZ69">
        <v>0</v>
      </c>
      <c r="BA69">
        <v>0</v>
      </c>
      <c r="BB69">
        <v>0</v>
      </c>
      <c r="BC69">
        <v>0</v>
      </c>
    </row>
    <row r="70" spans="1:55" x14ac:dyDescent="0.3">
      <c r="A70">
        <v>25</v>
      </c>
      <c r="B70" t="s">
        <v>49</v>
      </c>
      <c r="C70" t="s">
        <v>102</v>
      </c>
      <c r="D70" t="s">
        <v>130</v>
      </c>
      <c r="E70" t="s">
        <v>137</v>
      </c>
      <c r="F70" t="s">
        <v>142</v>
      </c>
      <c r="G70">
        <v>102</v>
      </c>
      <c r="H70">
        <v>0</v>
      </c>
      <c r="I70" t="s">
        <v>181</v>
      </c>
      <c r="J70" t="s">
        <v>229</v>
      </c>
      <c r="K70">
        <v>0.51800000000000002</v>
      </c>
      <c r="L70">
        <v>2002</v>
      </c>
      <c r="M70">
        <v>2003</v>
      </c>
      <c r="N70">
        <v>18</v>
      </c>
      <c r="O70">
        <v>99</v>
      </c>
      <c r="P70">
        <v>46.7</v>
      </c>
      <c r="R70" t="s">
        <v>232</v>
      </c>
      <c r="S70">
        <v>7.5999999999999998E-2</v>
      </c>
      <c r="T70">
        <v>6.6200180077299733E-2</v>
      </c>
      <c r="U70">
        <v>8.5799819922700263E-2</v>
      </c>
      <c r="V70">
        <v>5.0000000000000001E-3</v>
      </c>
      <c r="W70">
        <v>432.59199999999998</v>
      </c>
      <c r="X70">
        <v>5692</v>
      </c>
      <c r="Y70" t="s">
        <v>236</v>
      </c>
      <c r="Z70">
        <v>1</v>
      </c>
      <c r="AA70">
        <v>0</v>
      </c>
      <c r="AB70">
        <v>0</v>
      </c>
      <c r="AC70">
        <v>95</v>
      </c>
      <c r="AD70" t="s">
        <v>238</v>
      </c>
      <c r="AE70" t="s">
        <v>240</v>
      </c>
      <c r="AF70" t="s">
        <v>243</v>
      </c>
      <c r="AG70">
        <v>0.70899999999999996</v>
      </c>
      <c r="AH70" t="s">
        <v>247</v>
      </c>
      <c r="AI70" t="s">
        <v>262</v>
      </c>
      <c r="AJ70" t="s">
        <v>290</v>
      </c>
      <c r="AK70" t="s">
        <v>328</v>
      </c>
      <c r="AL70" t="s">
        <v>335</v>
      </c>
      <c r="AM70" t="s">
        <v>375</v>
      </c>
      <c r="AN70">
        <v>0</v>
      </c>
      <c r="AO70">
        <v>0</v>
      </c>
      <c r="AP70">
        <v>0</v>
      </c>
      <c r="AQ70">
        <v>0</v>
      </c>
      <c r="AR70">
        <v>0</v>
      </c>
      <c r="AS70">
        <v>0</v>
      </c>
      <c r="AT70">
        <v>0</v>
      </c>
      <c r="AU70">
        <v>0</v>
      </c>
      <c r="AV70">
        <v>0</v>
      </c>
      <c r="AW70">
        <v>1</v>
      </c>
      <c r="AX70">
        <v>0</v>
      </c>
      <c r="AY70">
        <v>0</v>
      </c>
      <c r="AZ70">
        <v>0</v>
      </c>
      <c r="BA70">
        <v>0</v>
      </c>
      <c r="BB70">
        <v>0</v>
      </c>
      <c r="BC70">
        <v>0</v>
      </c>
    </row>
    <row r="71" spans="1:55" x14ac:dyDescent="0.3">
      <c r="A71">
        <v>25</v>
      </c>
      <c r="B71" t="s">
        <v>49</v>
      </c>
      <c r="C71" t="s">
        <v>102</v>
      </c>
      <c r="D71" t="s">
        <v>130</v>
      </c>
      <c r="E71" t="s">
        <v>137</v>
      </c>
      <c r="F71" t="s">
        <v>175</v>
      </c>
      <c r="G71">
        <v>146</v>
      </c>
      <c r="H71">
        <v>0</v>
      </c>
      <c r="I71" t="s">
        <v>181</v>
      </c>
      <c r="J71" t="s">
        <v>229</v>
      </c>
      <c r="L71">
        <v>2002</v>
      </c>
      <c r="M71">
        <v>2003</v>
      </c>
      <c r="N71">
        <v>18</v>
      </c>
      <c r="O71">
        <v>99</v>
      </c>
      <c r="R71" t="s">
        <v>232</v>
      </c>
      <c r="S71">
        <v>6.2E-2</v>
      </c>
      <c r="T71">
        <v>2.868061226281908E-2</v>
      </c>
      <c r="U71">
        <v>9.5319387737180919E-2</v>
      </c>
      <c r="V71">
        <v>1.7000000000000001E-2</v>
      </c>
      <c r="W71">
        <v>63.921999999999997</v>
      </c>
      <c r="X71">
        <v>1031</v>
      </c>
      <c r="Y71" t="s">
        <v>236</v>
      </c>
      <c r="Z71">
        <v>1</v>
      </c>
      <c r="AA71">
        <v>0</v>
      </c>
      <c r="AB71">
        <v>0</v>
      </c>
      <c r="AC71">
        <v>95</v>
      </c>
      <c r="AD71" t="s">
        <v>238</v>
      </c>
      <c r="AE71" t="s">
        <v>240</v>
      </c>
      <c r="AF71" t="s">
        <v>243</v>
      </c>
      <c r="AG71">
        <v>0.7</v>
      </c>
      <c r="AH71" t="s">
        <v>247</v>
      </c>
      <c r="AI71" t="s">
        <v>262</v>
      </c>
      <c r="AJ71" t="s">
        <v>290</v>
      </c>
      <c r="AK71" t="s">
        <v>328</v>
      </c>
      <c r="AL71" t="s">
        <v>335</v>
      </c>
      <c r="AM71" t="s">
        <v>375</v>
      </c>
      <c r="AN71">
        <v>0</v>
      </c>
      <c r="AO71">
        <v>0</v>
      </c>
      <c r="AP71">
        <v>0</v>
      </c>
      <c r="AQ71">
        <v>0</v>
      </c>
      <c r="AR71">
        <v>0</v>
      </c>
      <c r="AS71">
        <v>0</v>
      </c>
      <c r="AT71">
        <v>0</v>
      </c>
      <c r="AU71">
        <v>0</v>
      </c>
      <c r="AV71">
        <v>0</v>
      </c>
      <c r="AW71">
        <v>1</v>
      </c>
      <c r="AX71">
        <v>0</v>
      </c>
      <c r="AY71">
        <v>0</v>
      </c>
      <c r="AZ71">
        <v>0</v>
      </c>
      <c r="BA71">
        <v>0</v>
      </c>
      <c r="BB71">
        <v>0</v>
      </c>
      <c r="BC71">
        <v>0</v>
      </c>
    </row>
    <row r="72" spans="1:55" x14ac:dyDescent="0.3">
      <c r="A72">
        <v>25</v>
      </c>
      <c r="B72" t="s">
        <v>49</v>
      </c>
      <c r="C72" t="s">
        <v>102</v>
      </c>
      <c r="D72" t="s">
        <v>130</v>
      </c>
      <c r="E72" t="s">
        <v>137</v>
      </c>
      <c r="F72" t="s">
        <v>177</v>
      </c>
      <c r="G72">
        <v>214</v>
      </c>
      <c r="H72">
        <v>0</v>
      </c>
      <c r="I72" t="s">
        <v>227</v>
      </c>
      <c r="J72" t="s">
        <v>229</v>
      </c>
      <c r="K72">
        <v>0.51</v>
      </c>
      <c r="L72">
        <v>2002</v>
      </c>
      <c r="M72">
        <v>2003</v>
      </c>
      <c r="N72">
        <v>18</v>
      </c>
      <c r="O72">
        <v>99</v>
      </c>
      <c r="P72">
        <v>35</v>
      </c>
      <c r="Q72">
        <v>0.37</v>
      </c>
      <c r="R72" t="s">
        <v>232</v>
      </c>
      <c r="S72">
        <v>2.7E-2</v>
      </c>
      <c r="T72">
        <v>1.328025210821962E-2</v>
      </c>
      <c r="U72">
        <v>4.0719747891780379E-2</v>
      </c>
      <c r="V72">
        <v>7.0000000000000001E-3</v>
      </c>
      <c r="W72">
        <v>57.860999999999997</v>
      </c>
      <c r="X72">
        <v>2143</v>
      </c>
      <c r="Y72" t="s">
        <v>236</v>
      </c>
      <c r="Z72">
        <v>1</v>
      </c>
      <c r="AA72">
        <v>0</v>
      </c>
      <c r="AB72">
        <v>0</v>
      </c>
      <c r="AC72">
        <v>95</v>
      </c>
      <c r="AD72" t="s">
        <v>238</v>
      </c>
      <c r="AE72" t="s">
        <v>240</v>
      </c>
      <c r="AF72" t="s">
        <v>243</v>
      </c>
      <c r="AG72">
        <v>0.79300000000000004</v>
      </c>
      <c r="AH72" t="s">
        <v>247</v>
      </c>
      <c r="AI72" t="s">
        <v>262</v>
      </c>
      <c r="AJ72" t="s">
        <v>290</v>
      </c>
      <c r="AK72" t="s">
        <v>328</v>
      </c>
      <c r="AL72" t="s">
        <v>335</v>
      </c>
      <c r="AM72" t="s">
        <v>375</v>
      </c>
      <c r="AN72">
        <v>0</v>
      </c>
      <c r="AO72">
        <v>0</v>
      </c>
      <c r="AP72">
        <v>0</v>
      </c>
      <c r="AQ72">
        <v>0</v>
      </c>
      <c r="AR72">
        <v>0</v>
      </c>
      <c r="AS72">
        <v>0</v>
      </c>
      <c r="AT72">
        <v>0</v>
      </c>
      <c r="AU72">
        <v>0</v>
      </c>
      <c r="AV72">
        <v>0</v>
      </c>
      <c r="AW72">
        <v>1</v>
      </c>
      <c r="AX72">
        <v>0</v>
      </c>
      <c r="AY72">
        <v>0</v>
      </c>
      <c r="AZ72">
        <v>0</v>
      </c>
      <c r="BA72">
        <v>0</v>
      </c>
      <c r="BB72">
        <v>0</v>
      </c>
      <c r="BC72">
        <v>0</v>
      </c>
    </row>
    <row r="73" spans="1:55" x14ac:dyDescent="0.3">
      <c r="A73">
        <v>25</v>
      </c>
      <c r="B73" t="s">
        <v>49</v>
      </c>
      <c r="C73" t="s">
        <v>102</v>
      </c>
      <c r="D73" t="s">
        <v>130</v>
      </c>
      <c r="E73" t="s">
        <v>137</v>
      </c>
      <c r="F73" t="s">
        <v>178</v>
      </c>
      <c r="G73">
        <v>6</v>
      </c>
      <c r="H73">
        <v>1</v>
      </c>
      <c r="I73" t="s">
        <v>228</v>
      </c>
      <c r="J73" t="s">
        <v>229</v>
      </c>
      <c r="L73">
        <v>2002</v>
      </c>
      <c r="M73">
        <v>2003</v>
      </c>
      <c r="N73">
        <v>18</v>
      </c>
      <c r="O73">
        <v>99</v>
      </c>
      <c r="R73" t="s">
        <v>232</v>
      </c>
      <c r="S73">
        <v>4.1000000000000002E-2</v>
      </c>
      <c r="T73">
        <v>1.944039617005941E-2</v>
      </c>
      <c r="U73">
        <v>6.2559603829940594E-2</v>
      </c>
      <c r="V73">
        <v>1.0999999999999999E-2</v>
      </c>
      <c r="W73">
        <v>66.748000000000005</v>
      </c>
      <c r="X73">
        <v>1628</v>
      </c>
      <c r="Y73" t="s">
        <v>236</v>
      </c>
      <c r="Z73">
        <v>1</v>
      </c>
      <c r="AA73">
        <v>0</v>
      </c>
      <c r="AB73">
        <v>0</v>
      </c>
      <c r="AC73">
        <v>95</v>
      </c>
      <c r="AD73" t="s">
        <v>238</v>
      </c>
      <c r="AE73" t="s">
        <v>241</v>
      </c>
      <c r="AF73" t="s">
        <v>243</v>
      </c>
      <c r="AG73">
        <v>0.747</v>
      </c>
      <c r="AH73" t="s">
        <v>247</v>
      </c>
      <c r="AI73" t="s">
        <v>262</v>
      </c>
      <c r="AJ73" t="s">
        <v>290</v>
      </c>
      <c r="AK73" t="s">
        <v>328</v>
      </c>
      <c r="AL73" t="s">
        <v>335</v>
      </c>
      <c r="AM73" t="s">
        <v>375</v>
      </c>
      <c r="AN73">
        <v>0</v>
      </c>
      <c r="AO73">
        <v>0</v>
      </c>
      <c r="AP73">
        <v>0</v>
      </c>
      <c r="AQ73">
        <v>0</v>
      </c>
      <c r="AR73">
        <v>0</v>
      </c>
      <c r="AS73">
        <v>0</v>
      </c>
      <c r="AT73">
        <v>0</v>
      </c>
      <c r="AU73">
        <v>0</v>
      </c>
      <c r="AV73">
        <v>0</v>
      </c>
      <c r="AW73">
        <v>1</v>
      </c>
      <c r="AX73">
        <v>0</v>
      </c>
      <c r="AY73">
        <v>0</v>
      </c>
      <c r="AZ73">
        <v>0</v>
      </c>
      <c r="BA73">
        <v>0</v>
      </c>
      <c r="BB73">
        <v>0</v>
      </c>
      <c r="BC73">
        <v>0</v>
      </c>
    </row>
    <row r="74" spans="1:55" x14ac:dyDescent="0.3">
      <c r="A74">
        <v>26</v>
      </c>
      <c r="B74" t="s">
        <v>65</v>
      </c>
      <c r="C74" t="s">
        <v>118</v>
      </c>
      <c r="D74" t="s">
        <v>130</v>
      </c>
      <c r="E74" t="s">
        <v>137</v>
      </c>
      <c r="F74" t="s">
        <v>144</v>
      </c>
      <c r="G74">
        <v>71</v>
      </c>
      <c r="H74">
        <v>0</v>
      </c>
      <c r="I74" t="s">
        <v>181</v>
      </c>
      <c r="J74" t="s">
        <v>230</v>
      </c>
      <c r="L74">
        <v>1997</v>
      </c>
      <c r="M74">
        <v>1997</v>
      </c>
      <c r="N74">
        <v>18</v>
      </c>
      <c r="O74">
        <v>99</v>
      </c>
      <c r="P74">
        <v>44.9</v>
      </c>
      <c r="R74" t="s">
        <v>232</v>
      </c>
      <c r="S74">
        <v>6.7799999999999999E-2</v>
      </c>
      <c r="T74">
        <v>6.0963340821821269E-2</v>
      </c>
      <c r="U74">
        <v>7.5341834120602816E-2</v>
      </c>
      <c r="V74">
        <v>3.6710452134079679E-3</v>
      </c>
      <c r="W74">
        <v>319</v>
      </c>
      <c r="X74">
        <v>4705</v>
      </c>
      <c r="Y74" t="s">
        <v>236</v>
      </c>
      <c r="Z74">
        <v>1</v>
      </c>
      <c r="AA74">
        <v>0</v>
      </c>
      <c r="AB74">
        <v>0</v>
      </c>
      <c r="AC74">
        <v>95</v>
      </c>
      <c r="AD74" t="s">
        <v>238</v>
      </c>
      <c r="AE74" t="s">
        <v>240</v>
      </c>
      <c r="AF74" t="s">
        <v>243</v>
      </c>
      <c r="AG74">
        <v>0.78</v>
      </c>
      <c r="AH74" t="s">
        <v>266</v>
      </c>
      <c r="AI74" t="s">
        <v>262</v>
      </c>
      <c r="AJ74" t="s">
        <v>293</v>
      </c>
      <c r="AK74" t="s">
        <v>7</v>
      </c>
      <c r="AL74" t="s">
        <v>338</v>
      </c>
      <c r="AM74" t="s">
        <v>375</v>
      </c>
      <c r="AN74">
        <v>1</v>
      </c>
      <c r="AO74">
        <v>0</v>
      </c>
      <c r="AP74">
        <v>0</v>
      </c>
      <c r="AQ74">
        <v>0</v>
      </c>
      <c r="AR74">
        <v>0</v>
      </c>
      <c r="AS74">
        <v>0</v>
      </c>
      <c r="AT74">
        <v>0</v>
      </c>
      <c r="AU74">
        <v>0</v>
      </c>
      <c r="AV74">
        <v>0</v>
      </c>
      <c r="AW74">
        <v>0</v>
      </c>
      <c r="AX74">
        <v>0</v>
      </c>
      <c r="AY74">
        <v>0</v>
      </c>
      <c r="AZ74">
        <v>1</v>
      </c>
      <c r="BA74">
        <v>0</v>
      </c>
      <c r="BB74">
        <v>0</v>
      </c>
      <c r="BC74">
        <v>0</v>
      </c>
    </row>
    <row r="75" spans="1:55" x14ac:dyDescent="0.3">
      <c r="A75">
        <v>26</v>
      </c>
      <c r="B75" t="s">
        <v>65</v>
      </c>
      <c r="C75" t="s">
        <v>118</v>
      </c>
      <c r="D75" t="s">
        <v>130</v>
      </c>
      <c r="E75" t="s">
        <v>137</v>
      </c>
      <c r="F75" t="s">
        <v>144</v>
      </c>
      <c r="G75">
        <v>71</v>
      </c>
      <c r="H75">
        <v>0</v>
      </c>
      <c r="I75" t="s">
        <v>181</v>
      </c>
      <c r="J75" t="s">
        <v>231</v>
      </c>
      <c r="L75">
        <v>1997</v>
      </c>
      <c r="M75">
        <v>1997</v>
      </c>
      <c r="N75">
        <v>18</v>
      </c>
      <c r="O75">
        <v>99</v>
      </c>
      <c r="P75">
        <v>44.9</v>
      </c>
      <c r="R75" t="s">
        <v>232</v>
      </c>
      <c r="S75">
        <v>6.4899999999999999E-2</v>
      </c>
      <c r="T75">
        <v>5.8910205198150961E-2</v>
      </c>
      <c r="U75">
        <v>7.1452577072881496E-2</v>
      </c>
      <c r="V75">
        <v>3.201714092673238E-3</v>
      </c>
      <c r="W75">
        <v>385</v>
      </c>
      <c r="X75">
        <v>5936</v>
      </c>
      <c r="Y75" t="s">
        <v>236</v>
      </c>
      <c r="Z75">
        <v>1</v>
      </c>
      <c r="AA75">
        <v>0</v>
      </c>
      <c r="AB75">
        <v>0</v>
      </c>
      <c r="AC75">
        <v>95</v>
      </c>
      <c r="AD75" t="s">
        <v>238</v>
      </c>
      <c r="AE75" t="s">
        <v>240</v>
      </c>
      <c r="AF75" t="s">
        <v>243</v>
      </c>
      <c r="AG75">
        <v>0.78</v>
      </c>
      <c r="AH75" t="s">
        <v>266</v>
      </c>
      <c r="AI75" t="s">
        <v>262</v>
      </c>
      <c r="AJ75" t="s">
        <v>293</v>
      </c>
      <c r="AK75" t="s">
        <v>7</v>
      </c>
      <c r="AL75" t="s">
        <v>338</v>
      </c>
      <c r="AM75" t="s">
        <v>375</v>
      </c>
      <c r="AN75">
        <v>1</v>
      </c>
      <c r="AO75">
        <v>0</v>
      </c>
      <c r="AP75">
        <v>0</v>
      </c>
      <c r="AQ75">
        <v>0</v>
      </c>
      <c r="AR75">
        <v>0</v>
      </c>
      <c r="AS75">
        <v>0</v>
      </c>
      <c r="AT75">
        <v>0</v>
      </c>
      <c r="AU75">
        <v>0</v>
      </c>
      <c r="AV75">
        <v>0</v>
      </c>
      <c r="AW75">
        <v>0</v>
      </c>
      <c r="AX75">
        <v>0</v>
      </c>
      <c r="AY75">
        <v>0</v>
      </c>
      <c r="AZ75">
        <v>1</v>
      </c>
      <c r="BA75">
        <v>0</v>
      </c>
      <c r="BB75">
        <v>0</v>
      </c>
      <c r="BC75">
        <v>0</v>
      </c>
    </row>
    <row r="76" spans="1:55" x14ac:dyDescent="0.3">
      <c r="A76">
        <v>27</v>
      </c>
      <c r="B76" t="s">
        <v>90</v>
      </c>
      <c r="C76" t="s">
        <v>114</v>
      </c>
      <c r="D76" t="s">
        <v>126</v>
      </c>
      <c r="E76" t="s">
        <v>140</v>
      </c>
      <c r="F76" t="s">
        <v>150</v>
      </c>
      <c r="G76">
        <v>4749</v>
      </c>
      <c r="H76">
        <v>0</v>
      </c>
      <c r="I76" t="s">
        <v>214</v>
      </c>
      <c r="J76" t="s">
        <v>229</v>
      </c>
      <c r="K76">
        <f>28188/57783</f>
        <v>0.487825138881678</v>
      </c>
      <c r="L76">
        <v>1998</v>
      </c>
      <c r="M76">
        <v>2004</v>
      </c>
      <c r="N76">
        <v>10</v>
      </c>
      <c r="O76">
        <v>20</v>
      </c>
      <c r="R76" t="s">
        <v>233</v>
      </c>
      <c r="S76">
        <v>8.0440000000000005</v>
      </c>
      <c r="T76">
        <v>0.20100000000000001</v>
      </c>
      <c r="U76">
        <v>44.820999999999998</v>
      </c>
      <c r="V76">
        <v>23.910754796033821</v>
      </c>
      <c r="W76">
        <v>1</v>
      </c>
      <c r="X76">
        <v>313</v>
      </c>
      <c r="Y76" t="s">
        <v>236</v>
      </c>
      <c r="Z76">
        <v>1</v>
      </c>
      <c r="AA76">
        <v>0</v>
      </c>
      <c r="AB76">
        <v>0</v>
      </c>
      <c r="AC76">
        <v>95</v>
      </c>
      <c r="AD76" t="s">
        <v>239</v>
      </c>
      <c r="AE76" t="s">
        <v>240</v>
      </c>
      <c r="AF76" t="s">
        <v>246</v>
      </c>
      <c r="AH76" t="s">
        <v>281</v>
      </c>
      <c r="AI76" t="s">
        <v>262</v>
      </c>
      <c r="AJ76" t="s">
        <v>317</v>
      </c>
      <c r="AK76" t="s">
        <v>323</v>
      </c>
      <c r="AL76" t="s">
        <v>367</v>
      </c>
      <c r="AM76" t="s">
        <v>333</v>
      </c>
      <c r="AN76">
        <v>1</v>
      </c>
      <c r="AO76">
        <v>0</v>
      </c>
      <c r="AP76">
        <v>0</v>
      </c>
      <c r="AQ76">
        <v>0</v>
      </c>
      <c r="AR76">
        <v>1</v>
      </c>
      <c r="AS76">
        <v>0</v>
      </c>
      <c r="AT76">
        <v>0</v>
      </c>
      <c r="AU76">
        <v>1</v>
      </c>
      <c r="AV76">
        <v>0</v>
      </c>
      <c r="AW76">
        <v>0</v>
      </c>
      <c r="AX76">
        <v>0</v>
      </c>
      <c r="AY76">
        <v>0</v>
      </c>
      <c r="AZ76">
        <v>0</v>
      </c>
      <c r="BA76">
        <v>0</v>
      </c>
      <c r="BB76">
        <v>0</v>
      </c>
      <c r="BC76">
        <v>0</v>
      </c>
    </row>
    <row r="77" spans="1:55" x14ac:dyDescent="0.3">
      <c r="A77">
        <v>28</v>
      </c>
      <c r="B77" t="s">
        <v>54</v>
      </c>
      <c r="C77" t="s">
        <v>107</v>
      </c>
      <c r="D77" t="s">
        <v>133</v>
      </c>
      <c r="E77" t="s">
        <v>139</v>
      </c>
      <c r="F77" t="s">
        <v>151</v>
      </c>
      <c r="G77">
        <v>79</v>
      </c>
      <c r="H77">
        <v>1</v>
      </c>
      <c r="I77" t="s">
        <v>187</v>
      </c>
      <c r="J77" t="s">
        <v>229</v>
      </c>
      <c r="K77">
        <f>669/1311</f>
        <v>0.51029748283752863</v>
      </c>
      <c r="L77">
        <v>1997</v>
      </c>
      <c r="M77">
        <v>1997</v>
      </c>
      <c r="N77">
        <v>31</v>
      </c>
      <c r="O77">
        <v>31</v>
      </c>
      <c r="R77" t="s">
        <v>232</v>
      </c>
      <c r="S77">
        <v>0.10625598086124401</v>
      </c>
      <c r="T77">
        <v>9.0709753833055726E-2</v>
      </c>
      <c r="U77">
        <v>0.12410294373141401</v>
      </c>
      <c r="V77">
        <v>8.5437890791231572E-3</v>
      </c>
      <c r="W77">
        <v>139.301590909091</v>
      </c>
      <c r="X77">
        <v>1311</v>
      </c>
      <c r="Y77" t="s">
        <v>236</v>
      </c>
      <c r="Z77">
        <v>1</v>
      </c>
      <c r="AA77">
        <v>0</v>
      </c>
      <c r="AB77">
        <v>0</v>
      </c>
      <c r="AC77">
        <v>95</v>
      </c>
      <c r="AD77" t="s">
        <v>239</v>
      </c>
      <c r="AE77" t="s">
        <v>241</v>
      </c>
      <c r="AF77" t="s">
        <v>243</v>
      </c>
      <c r="AH77" t="s">
        <v>259</v>
      </c>
      <c r="AI77" t="s">
        <v>262</v>
      </c>
      <c r="AJ77" t="s">
        <v>296</v>
      </c>
      <c r="AK77" t="s">
        <v>323</v>
      </c>
      <c r="AL77" t="s">
        <v>342</v>
      </c>
      <c r="AM77" t="s">
        <v>378</v>
      </c>
      <c r="AN77">
        <v>0</v>
      </c>
      <c r="AO77">
        <v>0</v>
      </c>
      <c r="AP77">
        <v>0</v>
      </c>
      <c r="AQ77">
        <v>0</v>
      </c>
      <c r="AR77">
        <v>0</v>
      </c>
      <c r="AS77">
        <v>0</v>
      </c>
      <c r="AT77">
        <v>0</v>
      </c>
      <c r="AU77">
        <v>0</v>
      </c>
      <c r="AV77">
        <v>1</v>
      </c>
      <c r="AW77">
        <v>0</v>
      </c>
      <c r="AX77">
        <v>0</v>
      </c>
      <c r="AY77">
        <v>0</v>
      </c>
      <c r="AZ77">
        <v>0</v>
      </c>
      <c r="BA77">
        <v>0</v>
      </c>
      <c r="BB77">
        <v>0</v>
      </c>
      <c r="BC77">
        <v>1</v>
      </c>
    </row>
    <row r="78" spans="1:55" x14ac:dyDescent="0.3">
      <c r="A78">
        <v>28</v>
      </c>
      <c r="B78" t="s">
        <v>54</v>
      </c>
      <c r="C78" t="s">
        <v>107</v>
      </c>
      <c r="D78" t="s">
        <v>133</v>
      </c>
      <c r="E78" t="s">
        <v>139</v>
      </c>
      <c r="F78" t="s">
        <v>151</v>
      </c>
      <c r="G78">
        <v>79</v>
      </c>
      <c r="H78">
        <v>1</v>
      </c>
      <c r="I78" t="s">
        <v>187</v>
      </c>
      <c r="J78" t="s">
        <v>229</v>
      </c>
      <c r="K78">
        <f>669/1311</f>
        <v>0.51029748283752863</v>
      </c>
      <c r="L78">
        <v>1997</v>
      </c>
      <c r="M78">
        <v>1997</v>
      </c>
      <c r="N78">
        <v>31</v>
      </c>
      <c r="O78">
        <v>31</v>
      </c>
      <c r="R78" t="s">
        <v>232</v>
      </c>
      <c r="S78">
        <v>3.4306694549980101E-3</v>
      </c>
      <c r="T78">
        <v>0</v>
      </c>
      <c r="U78">
        <v>6.9184272344020676E-3</v>
      </c>
      <c r="V78">
        <v>1.7795009535455991E-3</v>
      </c>
      <c r="W78">
        <v>4.4976076555023896</v>
      </c>
      <c r="X78">
        <v>1311</v>
      </c>
      <c r="Y78" t="s">
        <v>236</v>
      </c>
      <c r="Z78">
        <v>1</v>
      </c>
      <c r="AA78">
        <v>0</v>
      </c>
      <c r="AB78">
        <v>0</v>
      </c>
      <c r="AC78">
        <v>95</v>
      </c>
      <c r="AD78" t="s">
        <v>239</v>
      </c>
      <c r="AE78" t="s">
        <v>241</v>
      </c>
      <c r="AF78" t="s">
        <v>243</v>
      </c>
      <c r="AH78" t="s">
        <v>260</v>
      </c>
      <c r="AI78" t="s">
        <v>258</v>
      </c>
      <c r="AJ78" t="s">
        <v>296</v>
      </c>
      <c r="AK78" t="s">
        <v>325</v>
      </c>
      <c r="AL78" t="s">
        <v>342</v>
      </c>
      <c r="AM78" t="s">
        <v>378</v>
      </c>
      <c r="AN78">
        <v>0</v>
      </c>
      <c r="AO78">
        <v>1</v>
      </c>
      <c r="AP78">
        <v>1</v>
      </c>
      <c r="AQ78">
        <v>0</v>
      </c>
      <c r="AR78">
        <v>0</v>
      </c>
      <c r="AS78">
        <v>0</v>
      </c>
      <c r="AT78">
        <v>0</v>
      </c>
      <c r="AU78">
        <v>0</v>
      </c>
      <c r="AV78">
        <v>1</v>
      </c>
      <c r="AW78">
        <v>0</v>
      </c>
      <c r="AX78">
        <v>0</v>
      </c>
      <c r="AY78">
        <v>0</v>
      </c>
      <c r="AZ78">
        <v>0</v>
      </c>
      <c r="BA78">
        <v>1</v>
      </c>
      <c r="BB78">
        <v>0</v>
      </c>
      <c r="BC78">
        <v>0</v>
      </c>
    </row>
    <row r="79" spans="1:55" x14ac:dyDescent="0.3">
      <c r="A79">
        <v>28</v>
      </c>
      <c r="B79" t="s">
        <v>54</v>
      </c>
      <c r="C79" t="s">
        <v>107</v>
      </c>
      <c r="D79" t="s">
        <v>133</v>
      </c>
      <c r="E79" t="s">
        <v>139</v>
      </c>
      <c r="F79" t="s">
        <v>151</v>
      </c>
      <c r="G79">
        <v>79</v>
      </c>
      <c r="H79">
        <v>1</v>
      </c>
      <c r="I79" t="s">
        <v>187</v>
      </c>
      <c r="J79" t="s">
        <v>229</v>
      </c>
      <c r="K79">
        <f>669/1311</f>
        <v>0.51029748283752863</v>
      </c>
      <c r="L79">
        <v>1997</v>
      </c>
      <c r="M79">
        <v>1997</v>
      </c>
      <c r="N79">
        <v>31</v>
      </c>
      <c r="O79">
        <v>31</v>
      </c>
      <c r="R79" t="s">
        <v>232</v>
      </c>
      <c r="S79">
        <v>4.2883368187475101E-3</v>
      </c>
      <c r="T79">
        <v>1.9192014478401341E-3</v>
      </c>
      <c r="U79">
        <v>9.5540281634169839E-3</v>
      </c>
      <c r="V79">
        <v>1.9534027540372922E-3</v>
      </c>
      <c r="W79">
        <v>5.6220095693779903</v>
      </c>
      <c r="X79">
        <v>1311</v>
      </c>
      <c r="Y79" t="s">
        <v>236</v>
      </c>
      <c r="Z79">
        <v>1</v>
      </c>
      <c r="AA79">
        <v>0</v>
      </c>
      <c r="AB79">
        <v>0</v>
      </c>
      <c r="AC79">
        <v>95</v>
      </c>
      <c r="AD79" t="s">
        <v>239</v>
      </c>
      <c r="AE79" t="s">
        <v>241</v>
      </c>
      <c r="AF79" t="s">
        <v>243</v>
      </c>
      <c r="AH79" t="s">
        <v>256</v>
      </c>
      <c r="AI79" t="s">
        <v>253</v>
      </c>
      <c r="AJ79" t="s">
        <v>296</v>
      </c>
      <c r="AK79" t="s">
        <v>325</v>
      </c>
      <c r="AL79" t="s">
        <v>342</v>
      </c>
      <c r="AM79" t="s">
        <v>378</v>
      </c>
      <c r="AN79">
        <v>0</v>
      </c>
      <c r="AO79">
        <v>1</v>
      </c>
      <c r="AP79">
        <v>0</v>
      </c>
      <c r="AQ79">
        <v>1</v>
      </c>
      <c r="AR79">
        <v>0</v>
      </c>
      <c r="AS79">
        <v>0</v>
      </c>
      <c r="AT79">
        <v>0</v>
      </c>
      <c r="AU79">
        <v>0</v>
      </c>
      <c r="AV79">
        <v>1</v>
      </c>
      <c r="AW79">
        <v>0</v>
      </c>
      <c r="AX79">
        <v>0</v>
      </c>
      <c r="AY79">
        <v>0</v>
      </c>
      <c r="AZ79">
        <v>0</v>
      </c>
      <c r="BA79">
        <v>0</v>
      </c>
      <c r="BB79">
        <v>1</v>
      </c>
      <c r="BC79">
        <v>0</v>
      </c>
    </row>
    <row r="80" spans="1:55" x14ac:dyDescent="0.3">
      <c r="A80">
        <v>29</v>
      </c>
      <c r="B80" t="s">
        <v>61</v>
      </c>
      <c r="C80" t="s">
        <v>113</v>
      </c>
      <c r="D80" t="s">
        <v>133</v>
      </c>
      <c r="E80" t="s">
        <v>137</v>
      </c>
      <c r="F80" t="s">
        <v>150</v>
      </c>
      <c r="G80">
        <v>4749</v>
      </c>
      <c r="H80">
        <v>0</v>
      </c>
      <c r="I80" t="s">
        <v>150</v>
      </c>
      <c r="J80" t="s">
        <v>229</v>
      </c>
      <c r="K80">
        <f>4206/7403</f>
        <v>0.56814804808861274</v>
      </c>
      <c r="L80">
        <v>2007</v>
      </c>
      <c r="M80">
        <v>2007</v>
      </c>
      <c r="N80">
        <v>16</v>
      </c>
      <c r="O80">
        <v>95</v>
      </c>
      <c r="P80">
        <v>51</v>
      </c>
      <c r="R80" t="s">
        <v>232</v>
      </c>
      <c r="S80">
        <v>4.0000000000000001E-3</v>
      </c>
      <c r="T80">
        <v>2.7969621133389811E-3</v>
      </c>
      <c r="U80">
        <v>5.7175253603452894E-3</v>
      </c>
      <c r="V80">
        <v>7.4544194866365729E-4</v>
      </c>
      <c r="W80">
        <v>16</v>
      </c>
      <c r="X80">
        <v>7403</v>
      </c>
      <c r="Y80" t="s">
        <v>236</v>
      </c>
      <c r="Z80">
        <v>1</v>
      </c>
      <c r="AA80">
        <v>0</v>
      </c>
      <c r="AB80">
        <v>0</v>
      </c>
      <c r="AC80">
        <v>95</v>
      </c>
      <c r="AD80" t="s">
        <v>238</v>
      </c>
      <c r="AE80" t="s">
        <v>240</v>
      </c>
      <c r="AF80" t="s">
        <v>243</v>
      </c>
      <c r="AG80">
        <v>0.56999999999999995</v>
      </c>
      <c r="AH80" t="s">
        <v>269</v>
      </c>
      <c r="AI80" t="s">
        <v>253</v>
      </c>
      <c r="AJ80" t="s">
        <v>291</v>
      </c>
      <c r="AK80" t="s">
        <v>323</v>
      </c>
      <c r="AL80" t="s">
        <v>347</v>
      </c>
      <c r="AM80" t="s">
        <v>377</v>
      </c>
      <c r="AN80">
        <v>0</v>
      </c>
      <c r="AO80">
        <v>1</v>
      </c>
      <c r="AP80">
        <v>0</v>
      </c>
      <c r="AQ80">
        <v>1</v>
      </c>
      <c r="AR80">
        <v>0</v>
      </c>
      <c r="AS80">
        <v>0</v>
      </c>
      <c r="AT80">
        <v>0</v>
      </c>
      <c r="AU80">
        <v>0</v>
      </c>
      <c r="AV80">
        <v>0</v>
      </c>
      <c r="AW80">
        <v>0</v>
      </c>
      <c r="AX80">
        <v>0</v>
      </c>
      <c r="AY80">
        <v>0</v>
      </c>
      <c r="AZ80">
        <v>0</v>
      </c>
      <c r="BA80">
        <v>0</v>
      </c>
      <c r="BB80">
        <v>1</v>
      </c>
      <c r="BC80">
        <v>0</v>
      </c>
    </row>
    <row r="81" spans="1:55" x14ac:dyDescent="0.3">
      <c r="A81">
        <v>30</v>
      </c>
      <c r="B81" t="s">
        <v>96</v>
      </c>
      <c r="C81" t="s">
        <v>103</v>
      </c>
      <c r="D81" t="s">
        <v>126</v>
      </c>
      <c r="E81" t="s">
        <v>140</v>
      </c>
      <c r="F81" t="s">
        <v>172</v>
      </c>
      <c r="G81">
        <v>51</v>
      </c>
      <c r="H81">
        <v>0</v>
      </c>
      <c r="I81" t="s">
        <v>181</v>
      </c>
      <c r="J81" t="s">
        <v>229</v>
      </c>
      <c r="L81">
        <v>2019</v>
      </c>
      <c r="M81">
        <v>2019</v>
      </c>
      <c r="N81">
        <v>15</v>
      </c>
      <c r="O81">
        <v>99</v>
      </c>
      <c r="P81">
        <v>41.32</v>
      </c>
      <c r="R81" t="s">
        <v>233</v>
      </c>
      <c r="S81">
        <v>1.24</v>
      </c>
      <c r="T81">
        <v>1.1100000000000001</v>
      </c>
      <c r="U81">
        <v>1.36</v>
      </c>
      <c r="V81">
        <v>6.594883515589671E-2</v>
      </c>
      <c r="W81">
        <v>367</v>
      </c>
      <c r="X81">
        <v>63737</v>
      </c>
      <c r="Y81" t="s">
        <v>236</v>
      </c>
      <c r="Z81">
        <v>1</v>
      </c>
      <c r="AA81">
        <v>0</v>
      </c>
      <c r="AB81">
        <v>0</v>
      </c>
      <c r="AC81">
        <v>95</v>
      </c>
      <c r="AD81" t="s">
        <v>238</v>
      </c>
      <c r="AE81" t="s">
        <v>240</v>
      </c>
      <c r="AF81" t="s">
        <v>246</v>
      </c>
      <c r="AH81" t="s">
        <v>286</v>
      </c>
      <c r="AI81" t="s">
        <v>262</v>
      </c>
      <c r="AJ81" t="s">
        <v>320</v>
      </c>
      <c r="AK81" t="s">
        <v>323</v>
      </c>
      <c r="AL81" t="s">
        <v>364</v>
      </c>
      <c r="AM81" t="s">
        <v>387</v>
      </c>
      <c r="AN81">
        <v>1</v>
      </c>
      <c r="AO81">
        <v>0</v>
      </c>
      <c r="AP81">
        <v>0</v>
      </c>
      <c r="AQ81">
        <v>0</v>
      </c>
      <c r="AR81">
        <v>0</v>
      </c>
      <c r="AS81">
        <v>0</v>
      </c>
      <c r="AT81">
        <v>1</v>
      </c>
      <c r="AU81">
        <v>1</v>
      </c>
      <c r="AV81">
        <v>0</v>
      </c>
      <c r="AW81">
        <v>0</v>
      </c>
      <c r="AX81">
        <v>0</v>
      </c>
      <c r="AY81">
        <v>0</v>
      </c>
      <c r="AZ81">
        <v>0</v>
      </c>
      <c r="BA81">
        <v>0</v>
      </c>
      <c r="BB81">
        <v>0</v>
      </c>
      <c r="BC81">
        <v>0</v>
      </c>
    </row>
    <row r="82" spans="1:55" x14ac:dyDescent="0.3">
      <c r="A82">
        <v>30</v>
      </c>
      <c r="B82" t="s">
        <v>96</v>
      </c>
      <c r="C82" t="s">
        <v>103</v>
      </c>
      <c r="D82" t="s">
        <v>126</v>
      </c>
      <c r="E82" t="s">
        <v>140</v>
      </c>
      <c r="F82" t="s">
        <v>172</v>
      </c>
      <c r="G82">
        <v>51</v>
      </c>
      <c r="H82">
        <v>0</v>
      </c>
      <c r="I82" t="s">
        <v>181</v>
      </c>
      <c r="J82" t="s">
        <v>229</v>
      </c>
      <c r="L82">
        <v>2019</v>
      </c>
      <c r="M82">
        <v>2019</v>
      </c>
      <c r="N82">
        <v>15</v>
      </c>
      <c r="O82">
        <v>99</v>
      </c>
      <c r="P82">
        <v>41.32</v>
      </c>
      <c r="R82" t="s">
        <v>233</v>
      </c>
      <c r="S82">
        <v>2.5499999999999998</v>
      </c>
      <c r="T82">
        <v>2</v>
      </c>
      <c r="U82">
        <v>3.09</v>
      </c>
      <c r="V82">
        <v>0.29929297837931579</v>
      </c>
      <c r="W82">
        <v>84</v>
      </c>
      <c r="X82">
        <v>32.941176470588239</v>
      </c>
      <c r="Y82" t="s">
        <v>236</v>
      </c>
      <c r="Z82">
        <v>1</v>
      </c>
      <c r="AA82">
        <v>0</v>
      </c>
      <c r="AB82">
        <v>0</v>
      </c>
      <c r="AC82">
        <v>95</v>
      </c>
      <c r="AD82" t="s">
        <v>238</v>
      </c>
      <c r="AE82" t="s">
        <v>240</v>
      </c>
      <c r="AF82" t="s">
        <v>246</v>
      </c>
      <c r="AH82" t="s">
        <v>286</v>
      </c>
      <c r="AI82" t="s">
        <v>262</v>
      </c>
      <c r="AJ82" t="s">
        <v>320</v>
      </c>
      <c r="AK82" t="s">
        <v>333</v>
      </c>
      <c r="AL82" t="s">
        <v>364</v>
      </c>
      <c r="AM82" t="s">
        <v>333</v>
      </c>
      <c r="AN82">
        <v>1</v>
      </c>
      <c r="AO82">
        <v>0</v>
      </c>
      <c r="AP82">
        <v>0</v>
      </c>
      <c r="AQ82">
        <v>0</v>
      </c>
      <c r="AR82">
        <v>1</v>
      </c>
      <c r="AS82">
        <v>0</v>
      </c>
      <c r="AT82">
        <v>0</v>
      </c>
      <c r="AU82">
        <v>1</v>
      </c>
      <c r="AV82">
        <v>0</v>
      </c>
      <c r="AW82">
        <v>0</v>
      </c>
      <c r="AX82">
        <v>0</v>
      </c>
      <c r="AY82">
        <v>0</v>
      </c>
      <c r="AZ82">
        <v>0</v>
      </c>
      <c r="BA82">
        <v>0</v>
      </c>
      <c r="BB82">
        <v>0</v>
      </c>
      <c r="BC82">
        <v>0</v>
      </c>
    </row>
    <row r="83" spans="1:55" x14ac:dyDescent="0.3">
      <c r="A83">
        <v>30</v>
      </c>
      <c r="B83" t="s">
        <v>96</v>
      </c>
      <c r="C83" t="s">
        <v>103</v>
      </c>
      <c r="D83" t="s">
        <v>126</v>
      </c>
      <c r="E83" t="s">
        <v>140</v>
      </c>
      <c r="F83" t="s">
        <v>172</v>
      </c>
      <c r="G83">
        <v>51</v>
      </c>
      <c r="H83">
        <v>0</v>
      </c>
      <c r="I83" t="s">
        <v>181</v>
      </c>
      <c r="J83" t="s">
        <v>229</v>
      </c>
      <c r="L83">
        <v>2019</v>
      </c>
      <c r="M83">
        <v>2019</v>
      </c>
      <c r="N83">
        <v>15</v>
      </c>
      <c r="O83">
        <v>99</v>
      </c>
      <c r="P83">
        <v>41.32</v>
      </c>
      <c r="R83" t="s">
        <v>233</v>
      </c>
      <c r="S83">
        <v>1.0734436489497901</v>
      </c>
      <c r="T83">
        <v>0.94837912795009849</v>
      </c>
      <c r="U83">
        <v>1.1985081699494819</v>
      </c>
      <c r="V83">
        <v>6.3809601597878601E-2</v>
      </c>
      <c r="Y83" t="s">
        <v>236</v>
      </c>
      <c r="Z83">
        <v>1</v>
      </c>
      <c r="AA83">
        <v>0</v>
      </c>
      <c r="AB83">
        <v>1</v>
      </c>
      <c r="AC83">
        <v>95</v>
      </c>
      <c r="AD83" t="s">
        <v>238</v>
      </c>
      <c r="AE83" t="s">
        <v>240</v>
      </c>
      <c r="AF83" t="s">
        <v>246</v>
      </c>
      <c r="AH83" t="s">
        <v>286</v>
      </c>
      <c r="AI83" t="s">
        <v>262</v>
      </c>
      <c r="AJ83" t="s">
        <v>320</v>
      </c>
      <c r="AK83" t="s">
        <v>334</v>
      </c>
      <c r="AL83" t="s">
        <v>364</v>
      </c>
      <c r="AM83" t="s">
        <v>334</v>
      </c>
      <c r="AN83">
        <v>1</v>
      </c>
      <c r="AO83">
        <v>0</v>
      </c>
      <c r="AP83">
        <v>0</v>
      </c>
      <c r="AQ83">
        <v>0</v>
      </c>
      <c r="AR83">
        <v>0</v>
      </c>
      <c r="AS83">
        <v>1</v>
      </c>
      <c r="AT83">
        <v>0</v>
      </c>
      <c r="AU83">
        <v>1</v>
      </c>
      <c r="AV83">
        <v>0</v>
      </c>
      <c r="AW83">
        <v>0</v>
      </c>
      <c r="AX83">
        <v>0</v>
      </c>
      <c r="AY83">
        <v>0</v>
      </c>
      <c r="AZ83">
        <v>0</v>
      </c>
      <c r="BA83">
        <v>0</v>
      </c>
      <c r="BB83">
        <v>0</v>
      </c>
      <c r="BC83">
        <v>0</v>
      </c>
    </row>
    <row r="84" spans="1:55" x14ac:dyDescent="0.3">
      <c r="A84">
        <v>31</v>
      </c>
      <c r="B84" t="s">
        <v>99</v>
      </c>
      <c r="C84" t="s">
        <v>102</v>
      </c>
      <c r="D84" t="s">
        <v>126</v>
      </c>
      <c r="E84" t="s">
        <v>140</v>
      </c>
      <c r="F84" t="s">
        <v>149</v>
      </c>
      <c r="G84">
        <v>101</v>
      </c>
      <c r="H84">
        <v>1</v>
      </c>
      <c r="I84" t="s">
        <v>221</v>
      </c>
      <c r="J84" t="s">
        <v>230</v>
      </c>
      <c r="L84">
        <v>1995</v>
      </c>
      <c r="M84">
        <v>2000</v>
      </c>
      <c r="N84">
        <v>10</v>
      </c>
      <c r="O84">
        <v>99</v>
      </c>
      <c r="R84" t="s">
        <v>234</v>
      </c>
      <c r="S84">
        <v>2.04</v>
      </c>
      <c r="T84">
        <v>1.27</v>
      </c>
      <c r="U84">
        <v>2.79</v>
      </c>
      <c r="V84">
        <v>0.45359414911905882</v>
      </c>
      <c r="Y84" t="s">
        <v>237</v>
      </c>
      <c r="Z84">
        <v>1</v>
      </c>
      <c r="AA84">
        <v>0</v>
      </c>
      <c r="AB84">
        <v>0</v>
      </c>
      <c r="AC84">
        <v>95</v>
      </c>
      <c r="AD84" t="s">
        <v>239</v>
      </c>
      <c r="AE84" t="s">
        <v>240</v>
      </c>
      <c r="AF84" t="s">
        <v>246</v>
      </c>
      <c r="AH84" t="s">
        <v>287</v>
      </c>
      <c r="AI84" t="s">
        <v>262</v>
      </c>
      <c r="AJ84" t="s">
        <v>315</v>
      </c>
      <c r="AK84" t="s">
        <v>7</v>
      </c>
      <c r="AL84" t="s">
        <v>372</v>
      </c>
      <c r="AM84" t="s">
        <v>387</v>
      </c>
      <c r="AN84">
        <v>1</v>
      </c>
      <c r="AO84">
        <v>0</v>
      </c>
      <c r="AP84">
        <v>0</v>
      </c>
      <c r="AQ84">
        <v>0</v>
      </c>
      <c r="AR84">
        <v>0</v>
      </c>
      <c r="AS84">
        <v>0</v>
      </c>
      <c r="AT84">
        <v>1</v>
      </c>
      <c r="AU84">
        <v>0</v>
      </c>
      <c r="AV84">
        <v>0</v>
      </c>
      <c r="AW84">
        <v>0</v>
      </c>
      <c r="AX84">
        <v>0</v>
      </c>
      <c r="AY84">
        <v>0</v>
      </c>
      <c r="AZ84">
        <v>0</v>
      </c>
      <c r="BA84">
        <v>0</v>
      </c>
      <c r="BB84">
        <v>0</v>
      </c>
      <c r="BC84">
        <v>0</v>
      </c>
    </row>
    <row r="85" spans="1:55" x14ac:dyDescent="0.3">
      <c r="A85">
        <v>31</v>
      </c>
      <c r="B85" t="s">
        <v>99</v>
      </c>
      <c r="C85" t="s">
        <v>102</v>
      </c>
      <c r="D85" t="s">
        <v>126</v>
      </c>
      <c r="E85" t="s">
        <v>140</v>
      </c>
      <c r="F85" t="s">
        <v>149</v>
      </c>
      <c r="G85">
        <v>101</v>
      </c>
      <c r="H85">
        <v>1</v>
      </c>
      <c r="I85" t="s">
        <v>221</v>
      </c>
      <c r="J85" t="s">
        <v>231</v>
      </c>
      <c r="L85">
        <v>1995</v>
      </c>
      <c r="M85">
        <v>2000</v>
      </c>
      <c r="N85">
        <v>10</v>
      </c>
      <c r="O85">
        <v>99</v>
      </c>
      <c r="R85" t="s">
        <v>234</v>
      </c>
      <c r="S85">
        <v>2.08</v>
      </c>
      <c r="T85">
        <v>1.1000000000000001</v>
      </c>
      <c r="U85">
        <v>3.04</v>
      </c>
      <c r="V85">
        <v>0.61580256776885833</v>
      </c>
      <c r="Y85" t="s">
        <v>237</v>
      </c>
      <c r="Z85">
        <v>1</v>
      </c>
      <c r="AA85">
        <v>0</v>
      </c>
      <c r="AB85">
        <v>0</v>
      </c>
      <c r="AC85">
        <v>95</v>
      </c>
      <c r="AD85" t="s">
        <v>239</v>
      </c>
      <c r="AE85" t="s">
        <v>240</v>
      </c>
      <c r="AF85" t="s">
        <v>246</v>
      </c>
      <c r="AH85" t="s">
        <v>287</v>
      </c>
      <c r="AI85" t="s">
        <v>262</v>
      </c>
      <c r="AJ85" t="s">
        <v>315</v>
      </c>
      <c r="AK85" t="s">
        <v>7</v>
      </c>
      <c r="AL85" t="s">
        <v>372</v>
      </c>
      <c r="AM85" t="s">
        <v>387</v>
      </c>
      <c r="AN85">
        <v>1</v>
      </c>
      <c r="AO85">
        <v>0</v>
      </c>
      <c r="AP85">
        <v>0</v>
      </c>
      <c r="AQ85">
        <v>0</v>
      </c>
      <c r="AR85">
        <v>0</v>
      </c>
      <c r="AS85">
        <v>0</v>
      </c>
      <c r="AT85">
        <v>1</v>
      </c>
      <c r="AU85">
        <v>0</v>
      </c>
      <c r="AV85">
        <v>0</v>
      </c>
      <c r="AW85">
        <v>0</v>
      </c>
      <c r="AX85">
        <v>0</v>
      </c>
      <c r="AY85">
        <v>0</v>
      </c>
      <c r="AZ85">
        <v>0</v>
      </c>
      <c r="BA85">
        <v>0</v>
      </c>
      <c r="BB85">
        <v>0</v>
      </c>
      <c r="BC85">
        <v>0</v>
      </c>
    </row>
    <row r="86" spans="1:55" x14ac:dyDescent="0.3">
      <c r="A86">
        <v>32</v>
      </c>
      <c r="B86" t="s">
        <v>86</v>
      </c>
      <c r="C86" t="s">
        <v>102</v>
      </c>
      <c r="D86" t="s">
        <v>126</v>
      </c>
      <c r="E86" t="s">
        <v>140</v>
      </c>
      <c r="F86" t="s">
        <v>167</v>
      </c>
      <c r="G86">
        <v>90</v>
      </c>
      <c r="H86">
        <v>0</v>
      </c>
      <c r="I86" t="s">
        <v>211</v>
      </c>
      <c r="J86" t="s">
        <v>230</v>
      </c>
      <c r="L86">
        <v>1963</v>
      </c>
      <c r="M86">
        <v>1995</v>
      </c>
      <c r="N86">
        <v>11</v>
      </c>
      <c r="O86">
        <v>51</v>
      </c>
      <c r="P86">
        <v>27.3</v>
      </c>
      <c r="R86" t="s">
        <v>233</v>
      </c>
      <c r="S86">
        <v>6.19</v>
      </c>
      <c r="T86">
        <v>2.4900000000000002</v>
      </c>
      <c r="U86">
        <v>12.8</v>
      </c>
      <c r="V86">
        <v>3.2088397042867838</v>
      </c>
      <c r="W86">
        <v>5</v>
      </c>
      <c r="X86">
        <v>47</v>
      </c>
      <c r="Y86" t="s">
        <v>236</v>
      </c>
      <c r="Z86">
        <v>1</v>
      </c>
      <c r="AA86">
        <v>0</v>
      </c>
      <c r="AB86">
        <v>0</v>
      </c>
      <c r="AC86">
        <v>95</v>
      </c>
      <c r="AD86" t="s">
        <v>238</v>
      </c>
      <c r="AE86" t="s">
        <v>240</v>
      </c>
      <c r="AF86" t="s">
        <v>246</v>
      </c>
      <c r="AH86" t="s">
        <v>261</v>
      </c>
      <c r="AI86" t="s">
        <v>262</v>
      </c>
      <c r="AJ86" t="s">
        <v>313</v>
      </c>
      <c r="AK86" t="s">
        <v>7</v>
      </c>
      <c r="AL86" t="s">
        <v>363</v>
      </c>
      <c r="AM86" t="s">
        <v>333</v>
      </c>
      <c r="AN86">
        <v>0</v>
      </c>
      <c r="AO86">
        <v>0</v>
      </c>
      <c r="AP86">
        <v>0</v>
      </c>
      <c r="AQ86">
        <v>0</v>
      </c>
      <c r="AR86">
        <v>1</v>
      </c>
      <c r="AS86">
        <v>0</v>
      </c>
      <c r="AT86">
        <v>0</v>
      </c>
      <c r="AU86">
        <v>0</v>
      </c>
      <c r="AV86">
        <v>0</v>
      </c>
      <c r="AW86">
        <v>0</v>
      </c>
      <c r="AX86">
        <v>0</v>
      </c>
      <c r="AY86">
        <v>0</v>
      </c>
      <c r="AZ86">
        <v>0</v>
      </c>
      <c r="BA86">
        <v>0</v>
      </c>
      <c r="BB86">
        <v>0</v>
      </c>
      <c r="BC86">
        <v>0</v>
      </c>
    </row>
    <row r="87" spans="1:55" x14ac:dyDescent="0.3">
      <c r="A87">
        <v>32</v>
      </c>
      <c r="B87" t="s">
        <v>86</v>
      </c>
      <c r="C87" t="s">
        <v>102</v>
      </c>
      <c r="D87" t="s">
        <v>126</v>
      </c>
      <c r="E87" t="s">
        <v>140</v>
      </c>
      <c r="F87" t="s">
        <v>167</v>
      </c>
      <c r="G87">
        <v>90</v>
      </c>
      <c r="H87">
        <v>0</v>
      </c>
      <c r="I87" t="s">
        <v>211</v>
      </c>
      <c r="J87" t="s">
        <v>231</v>
      </c>
      <c r="L87">
        <v>1963</v>
      </c>
      <c r="M87">
        <v>1995</v>
      </c>
      <c r="N87">
        <v>11</v>
      </c>
      <c r="O87">
        <v>51</v>
      </c>
      <c r="P87">
        <v>27.3</v>
      </c>
      <c r="R87" t="s">
        <v>233</v>
      </c>
      <c r="S87">
        <v>6.67</v>
      </c>
      <c r="T87">
        <v>2.88</v>
      </c>
      <c r="U87">
        <v>13.1</v>
      </c>
      <c r="V87">
        <v>3.1464654939039129</v>
      </c>
      <c r="W87">
        <v>8</v>
      </c>
      <c r="X87">
        <v>105</v>
      </c>
      <c r="Y87" t="s">
        <v>236</v>
      </c>
      <c r="Z87">
        <v>1</v>
      </c>
      <c r="AA87">
        <v>0</v>
      </c>
      <c r="AB87">
        <v>0</v>
      </c>
      <c r="AC87">
        <v>95</v>
      </c>
      <c r="AD87" t="s">
        <v>238</v>
      </c>
      <c r="AE87" t="s">
        <v>240</v>
      </c>
      <c r="AF87" t="s">
        <v>246</v>
      </c>
      <c r="AH87" t="s">
        <v>261</v>
      </c>
      <c r="AI87" t="s">
        <v>262</v>
      </c>
      <c r="AJ87" t="s">
        <v>313</v>
      </c>
      <c r="AK87" t="s">
        <v>7</v>
      </c>
      <c r="AL87" t="s">
        <v>363</v>
      </c>
      <c r="AM87" t="s">
        <v>333</v>
      </c>
      <c r="AN87">
        <v>0</v>
      </c>
      <c r="AO87">
        <v>0</v>
      </c>
      <c r="AP87">
        <v>0</v>
      </c>
      <c r="AQ87">
        <v>0</v>
      </c>
      <c r="AR87">
        <v>1</v>
      </c>
      <c r="AS87">
        <v>0</v>
      </c>
      <c r="AT87">
        <v>0</v>
      </c>
      <c r="AU87">
        <v>0</v>
      </c>
      <c r="AV87">
        <v>0</v>
      </c>
      <c r="AW87">
        <v>0</v>
      </c>
      <c r="AX87">
        <v>0</v>
      </c>
      <c r="AY87">
        <v>0</v>
      </c>
      <c r="AZ87">
        <v>0</v>
      </c>
      <c r="BA87">
        <v>0</v>
      </c>
      <c r="BB87">
        <v>0</v>
      </c>
      <c r="BC87">
        <v>0</v>
      </c>
    </row>
    <row r="88" spans="1:55" x14ac:dyDescent="0.3">
      <c r="A88">
        <v>33</v>
      </c>
      <c r="B88" t="s">
        <v>97</v>
      </c>
      <c r="C88" t="s">
        <v>103</v>
      </c>
      <c r="D88" t="s">
        <v>102</v>
      </c>
      <c r="E88" t="s">
        <v>140</v>
      </c>
      <c r="F88" t="s">
        <v>173</v>
      </c>
      <c r="G88">
        <v>47</v>
      </c>
      <c r="H88">
        <v>0</v>
      </c>
      <c r="I88" t="s">
        <v>219</v>
      </c>
      <c r="J88" t="s">
        <v>229</v>
      </c>
      <c r="K88">
        <v>0.46500000000000002</v>
      </c>
      <c r="L88">
        <v>2014</v>
      </c>
      <c r="M88">
        <v>2014</v>
      </c>
      <c r="N88">
        <v>15</v>
      </c>
      <c r="O88">
        <v>84</v>
      </c>
      <c r="P88">
        <v>45.8</v>
      </c>
      <c r="R88" t="s">
        <v>233</v>
      </c>
      <c r="S88">
        <v>2.2999999999999998</v>
      </c>
      <c r="T88">
        <v>2</v>
      </c>
      <c r="U88">
        <v>2.6</v>
      </c>
      <c r="V88">
        <v>0.15920963591855741</v>
      </c>
      <c r="W88">
        <v>309</v>
      </c>
      <c r="X88">
        <v>32993</v>
      </c>
      <c r="Y88" t="s">
        <v>236</v>
      </c>
      <c r="Z88">
        <v>1</v>
      </c>
      <c r="AA88">
        <v>0</v>
      </c>
      <c r="AB88">
        <v>0</v>
      </c>
      <c r="AC88">
        <v>95</v>
      </c>
      <c r="AD88" t="s">
        <v>238</v>
      </c>
      <c r="AE88" t="s">
        <v>240</v>
      </c>
      <c r="AF88" t="s">
        <v>246</v>
      </c>
      <c r="AH88" t="s">
        <v>286</v>
      </c>
      <c r="AI88" t="s">
        <v>262</v>
      </c>
      <c r="AJ88" t="s">
        <v>320</v>
      </c>
      <c r="AK88" t="s">
        <v>323</v>
      </c>
      <c r="AL88" t="s">
        <v>364</v>
      </c>
      <c r="AM88" t="s">
        <v>333</v>
      </c>
      <c r="AN88">
        <v>1</v>
      </c>
      <c r="AO88">
        <v>0</v>
      </c>
      <c r="AP88">
        <v>0</v>
      </c>
      <c r="AQ88">
        <v>0</v>
      </c>
      <c r="AR88">
        <v>1</v>
      </c>
      <c r="AS88">
        <v>0</v>
      </c>
      <c r="AT88">
        <v>0</v>
      </c>
      <c r="AU88">
        <v>1</v>
      </c>
      <c r="AV88">
        <v>0</v>
      </c>
      <c r="AW88">
        <v>0</v>
      </c>
      <c r="AX88">
        <v>0</v>
      </c>
      <c r="AY88">
        <v>0</v>
      </c>
      <c r="AZ88">
        <v>0</v>
      </c>
      <c r="BA88">
        <v>0</v>
      </c>
      <c r="BB88">
        <v>0</v>
      </c>
      <c r="BC88">
        <v>0</v>
      </c>
    </row>
    <row r="89" spans="1:55" x14ac:dyDescent="0.3">
      <c r="A89">
        <v>34</v>
      </c>
      <c r="B89" t="s">
        <v>88</v>
      </c>
      <c r="C89" t="s">
        <v>102</v>
      </c>
      <c r="D89" t="s">
        <v>130</v>
      </c>
      <c r="E89" t="s">
        <v>140</v>
      </c>
      <c r="F89" t="s">
        <v>144</v>
      </c>
      <c r="G89">
        <v>71</v>
      </c>
      <c r="H89">
        <v>1</v>
      </c>
      <c r="I89" t="s">
        <v>212</v>
      </c>
      <c r="J89" t="s">
        <v>230</v>
      </c>
      <c r="L89">
        <v>1980</v>
      </c>
      <c r="M89">
        <v>1995</v>
      </c>
      <c r="N89">
        <v>10</v>
      </c>
      <c r="O89">
        <v>99</v>
      </c>
      <c r="R89" t="s">
        <v>234</v>
      </c>
      <c r="S89">
        <v>2.14</v>
      </c>
      <c r="T89">
        <v>1.68</v>
      </c>
      <c r="U89">
        <v>2.73</v>
      </c>
      <c r="V89">
        <v>0.28216589919054319</v>
      </c>
      <c r="Y89" t="s">
        <v>237</v>
      </c>
      <c r="Z89">
        <v>1</v>
      </c>
      <c r="AA89">
        <v>0</v>
      </c>
      <c r="AB89">
        <v>0</v>
      </c>
      <c r="AC89">
        <v>95</v>
      </c>
      <c r="AD89" t="s">
        <v>239</v>
      </c>
      <c r="AE89" t="s">
        <v>240</v>
      </c>
      <c r="AF89" t="s">
        <v>246</v>
      </c>
      <c r="AH89" t="s">
        <v>262</v>
      </c>
      <c r="AI89" t="s">
        <v>262</v>
      </c>
      <c r="AJ89" t="s">
        <v>315</v>
      </c>
      <c r="AK89" t="s">
        <v>7</v>
      </c>
      <c r="AL89" t="s">
        <v>365</v>
      </c>
      <c r="AM89" t="s">
        <v>387</v>
      </c>
      <c r="AN89">
        <v>1</v>
      </c>
      <c r="AO89">
        <v>0</v>
      </c>
      <c r="AP89">
        <v>0</v>
      </c>
      <c r="AQ89">
        <v>0</v>
      </c>
      <c r="AR89">
        <v>0</v>
      </c>
      <c r="AS89">
        <v>0</v>
      </c>
      <c r="AT89">
        <v>1</v>
      </c>
      <c r="AU89">
        <v>0</v>
      </c>
      <c r="AV89">
        <v>0</v>
      </c>
      <c r="AW89">
        <v>0</v>
      </c>
      <c r="AX89">
        <v>0</v>
      </c>
      <c r="AY89">
        <v>0</v>
      </c>
      <c r="AZ89">
        <v>0</v>
      </c>
      <c r="BA89">
        <v>0</v>
      </c>
      <c r="BB89">
        <v>0</v>
      </c>
      <c r="BC89">
        <v>0</v>
      </c>
    </row>
    <row r="90" spans="1:55" x14ac:dyDescent="0.3">
      <c r="A90">
        <v>34</v>
      </c>
      <c r="B90" t="s">
        <v>88</v>
      </c>
      <c r="C90" t="s">
        <v>102</v>
      </c>
      <c r="D90" t="s">
        <v>130</v>
      </c>
      <c r="E90" t="s">
        <v>140</v>
      </c>
      <c r="F90" t="s">
        <v>144</v>
      </c>
      <c r="G90">
        <v>71</v>
      </c>
      <c r="H90">
        <v>1</v>
      </c>
      <c r="I90" t="s">
        <v>212</v>
      </c>
      <c r="J90" t="s">
        <v>231</v>
      </c>
      <c r="L90">
        <v>1980</v>
      </c>
      <c r="M90">
        <v>1995</v>
      </c>
      <c r="N90">
        <v>10</v>
      </c>
      <c r="O90">
        <v>99</v>
      </c>
      <c r="R90" t="s">
        <v>234</v>
      </c>
      <c r="S90">
        <v>2.25</v>
      </c>
      <c r="T90">
        <v>1.71</v>
      </c>
      <c r="U90">
        <v>2.94</v>
      </c>
      <c r="V90">
        <v>0.3335816892836046</v>
      </c>
      <c r="Y90" t="s">
        <v>237</v>
      </c>
      <c r="Z90">
        <v>1</v>
      </c>
      <c r="AA90">
        <v>0</v>
      </c>
      <c r="AB90">
        <v>0</v>
      </c>
      <c r="AC90">
        <v>95</v>
      </c>
      <c r="AD90" t="s">
        <v>239</v>
      </c>
      <c r="AE90" t="s">
        <v>240</v>
      </c>
      <c r="AF90" t="s">
        <v>246</v>
      </c>
      <c r="AH90" t="s">
        <v>262</v>
      </c>
      <c r="AI90" t="s">
        <v>262</v>
      </c>
      <c r="AJ90" t="s">
        <v>315</v>
      </c>
      <c r="AK90" t="s">
        <v>7</v>
      </c>
      <c r="AL90" t="s">
        <v>365</v>
      </c>
      <c r="AM90" t="s">
        <v>387</v>
      </c>
      <c r="AN90">
        <v>1</v>
      </c>
      <c r="AO90">
        <v>0</v>
      </c>
      <c r="AP90">
        <v>0</v>
      </c>
      <c r="AQ90">
        <v>0</v>
      </c>
      <c r="AR90">
        <v>0</v>
      </c>
      <c r="AS90">
        <v>0</v>
      </c>
      <c r="AT90">
        <v>1</v>
      </c>
      <c r="AU90">
        <v>0</v>
      </c>
      <c r="AV90">
        <v>0</v>
      </c>
      <c r="AW90">
        <v>0</v>
      </c>
      <c r="AX90">
        <v>0</v>
      </c>
      <c r="AY90">
        <v>0</v>
      </c>
      <c r="AZ90">
        <v>0</v>
      </c>
      <c r="BA90">
        <v>0</v>
      </c>
      <c r="BB90">
        <v>0</v>
      </c>
      <c r="BC90">
        <v>0</v>
      </c>
    </row>
    <row r="91" spans="1:55" x14ac:dyDescent="0.3">
      <c r="A91">
        <v>35</v>
      </c>
      <c r="B91" t="s">
        <v>101</v>
      </c>
      <c r="E91" t="s">
        <v>138</v>
      </c>
      <c r="F91" t="s">
        <v>153</v>
      </c>
      <c r="G91">
        <v>92</v>
      </c>
      <c r="H91">
        <v>1</v>
      </c>
      <c r="I91" t="s">
        <v>224</v>
      </c>
      <c r="J91" t="s">
        <v>229</v>
      </c>
      <c r="L91">
        <v>2009</v>
      </c>
      <c r="M91">
        <v>2011</v>
      </c>
      <c r="N91">
        <v>22</v>
      </c>
      <c r="O91">
        <v>54</v>
      </c>
      <c r="R91" t="s">
        <v>235</v>
      </c>
      <c r="S91">
        <v>7.4768532048610101E-2</v>
      </c>
      <c r="T91">
        <v>2.2453250372874022E-3</v>
      </c>
      <c r="U91">
        <v>0.14729173905993281</v>
      </c>
      <c r="V91">
        <v>3.7002316156509257E-2</v>
      </c>
      <c r="W91">
        <v>1</v>
      </c>
      <c r="X91">
        <v>54</v>
      </c>
      <c r="Y91" t="s">
        <v>237</v>
      </c>
      <c r="Z91">
        <v>1</v>
      </c>
      <c r="AA91">
        <v>0</v>
      </c>
      <c r="AB91">
        <v>0</v>
      </c>
      <c r="AC91">
        <v>95</v>
      </c>
      <c r="AD91" t="s">
        <v>239</v>
      </c>
      <c r="AE91" t="s">
        <v>240</v>
      </c>
      <c r="AF91" t="s">
        <v>246</v>
      </c>
      <c r="AH91" t="s">
        <v>289</v>
      </c>
      <c r="AI91" t="s">
        <v>262</v>
      </c>
      <c r="AJ91" t="s">
        <v>291</v>
      </c>
      <c r="AK91" t="s">
        <v>323</v>
      </c>
      <c r="AL91" t="s">
        <v>374</v>
      </c>
      <c r="AM91" t="s">
        <v>388</v>
      </c>
      <c r="AN91">
        <v>0</v>
      </c>
      <c r="AO91">
        <v>0</v>
      </c>
      <c r="AP91">
        <v>0</v>
      </c>
      <c r="AQ91">
        <v>0</v>
      </c>
      <c r="AR91">
        <v>0</v>
      </c>
      <c r="AS91">
        <v>0</v>
      </c>
      <c r="AT91">
        <v>0</v>
      </c>
      <c r="AU91">
        <v>0</v>
      </c>
      <c r="AV91">
        <v>0</v>
      </c>
      <c r="AW91">
        <v>0</v>
      </c>
      <c r="AX91">
        <v>0</v>
      </c>
      <c r="AY91">
        <v>0</v>
      </c>
      <c r="AZ91">
        <v>0</v>
      </c>
      <c r="BA91">
        <v>0</v>
      </c>
      <c r="BB91">
        <v>0</v>
      </c>
      <c r="BC91">
        <v>0</v>
      </c>
    </row>
    <row r="92" spans="1:55" x14ac:dyDescent="0.3">
      <c r="A92">
        <v>36</v>
      </c>
      <c r="B92" t="s">
        <v>60</v>
      </c>
      <c r="C92" t="s">
        <v>112</v>
      </c>
      <c r="D92" t="s">
        <v>130</v>
      </c>
      <c r="E92" t="s">
        <v>137</v>
      </c>
      <c r="F92" t="s">
        <v>159</v>
      </c>
      <c r="G92">
        <v>81</v>
      </c>
      <c r="H92">
        <v>1</v>
      </c>
      <c r="I92" t="s">
        <v>193</v>
      </c>
      <c r="J92" t="s">
        <v>229</v>
      </c>
      <c r="K92">
        <f>113/(104+113)</f>
        <v>0.52073732718894006</v>
      </c>
      <c r="L92">
        <v>1989</v>
      </c>
      <c r="M92">
        <v>1991</v>
      </c>
      <c r="N92">
        <v>20</v>
      </c>
      <c r="O92">
        <v>39</v>
      </c>
      <c r="R92" t="s">
        <v>232</v>
      </c>
      <c r="S92">
        <v>4.6082949308755804E-3</v>
      </c>
      <c r="T92">
        <v>0</v>
      </c>
      <c r="U92">
        <v>1.7239527698315531E-2</v>
      </c>
      <c r="V92">
        <v>6.4446249354954991E-3</v>
      </c>
      <c r="W92">
        <v>1</v>
      </c>
      <c r="X92">
        <v>217</v>
      </c>
      <c r="Y92" t="s">
        <v>236</v>
      </c>
      <c r="Z92">
        <v>1</v>
      </c>
      <c r="AA92">
        <v>0</v>
      </c>
      <c r="AB92">
        <v>0</v>
      </c>
      <c r="AC92">
        <v>95</v>
      </c>
      <c r="AD92" t="s">
        <v>239</v>
      </c>
      <c r="AE92" t="s">
        <v>240</v>
      </c>
      <c r="AF92" t="s">
        <v>243</v>
      </c>
      <c r="AH92" t="s">
        <v>248</v>
      </c>
      <c r="AI92" t="s">
        <v>258</v>
      </c>
      <c r="AJ92" t="s">
        <v>296</v>
      </c>
      <c r="AK92" t="s">
        <v>326</v>
      </c>
      <c r="AL92" t="s">
        <v>349</v>
      </c>
      <c r="AM92" t="s">
        <v>382</v>
      </c>
      <c r="AN92">
        <v>0</v>
      </c>
      <c r="AO92">
        <v>1</v>
      </c>
      <c r="AP92">
        <v>1</v>
      </c>
      <c r="AQ92">
        <v>0</v>
      </c>
      <c r="AR92">
        <v>0</v>
      </c>
      <c r="AS92">
        <v>0</v>
      </c>
      <c r="AT92">
        <v>0</v>
      </c>
      <c r="AU92">
        <v>0</v>
      </c>
      <c r="AV92">
        <v>0</v>
      </c>
      <c r="AW92">
        <v>0</v>
      </c>
      <c r="AX92">
        <v>0</v>
      </c>
      <c r="AY92">
        <v>0</v>
      </c>
      <c r="AZ92">
        <v>0</v>
      </c>
      <c r="BA92">
        <v>1</v>
      </c>
      <c r="BB92">
        <v>0</v>
      </c>
      <c r="BC92">
        <v>0</v>
      </c>
    </row>
    <row r="93" spans="1:55" x14ac:dyDescent="0.3">
      <c r="A93">
        <v>36</v>
      </c>
      <c r="B93" t="s">
        <v>60</v>
      </c>
      <c r="C93" t="s">
        <v>112</v>
      </c>
      <c r="D93" t="s">
        <v>130</v>
      </c>
      <c r="E93" t="s">
        <v>137</v>
      </c>
      <c r="F93" t="s">
        <v>159</v>
      </c>
      <c r="G93">
        <v>81</v>
      </c>
      <c r="H93">
        <v>1</v>
      </c>
      <c r="I93" t="s">
        <v>193</v>
      </c>
      <c r="J93" t="s">
        <v>229</v>
      </c>
      <c r="K93">
        <f>113/(104+113)</f>
        <v>0.52073732718894006</v>
      </c>
      <c r="L93">
        <v>1989</v>
      </c>
      <c r="M93">
        <v>1991</v>
      </c>
      <c r="N93">
        <v>20</v>
      </c>
      <c r="O93">
        <v>39</v>
      </c>
      <c r="R93" t="s">
        <v>232</v>
      </c>
      <c r="S93">
        <v>1.8433179723502301E-2</v>
      </c>
      <c r="T93">
        <v>0</v>
      </c>
      <c r="U93">
        <v>3.8399276594342148E-2</v>
      </c>
      <c r="V93">
        <v>1.0186971305763719E-2</v>
      </c>
      <c r="W93">
        <v>4</v>
      </c>
      <c r="X93">
        <v>217</v>
      </c>
      <c r="Y93" t="s">
        <v>236</v>
      </c>
      <c r="Z93">
        <v>1</v>
      </c>
      <c r="AA93">
        <v>0</v>
      </c>
      <c r="AB93">
        <v>0</v>
      </c>
      <c r="AC93">
        <v>95</v>
      </c>
      <c r="AD93" t="s">
        <v>239</v>
      </c>
      <c r="AE93" t="s">
        <v>240</v>
      </c>
      <c r="AF93" t="s">
        <v>243</v>
      </c>
      <c r="AH93" t="s">
        <v>249</v>
      </c>
      <c r="AI93" t="s">
        <v>253</v>
      </c>
      <c r="AJ93" t="s">
        <v>296</v>
      </c>
      <c r="AK93" t="s">
        <v>326</v>
      </c>
      <c r="AL93" t="s">
        <v>349</v>
      </c>
      <c r="AM93" t="s">
        <v>382</v>
      </c>
      <c r="AN93">
        <v>0</v>
      </c>
      <c r="AO93">
        <v>1</v>
      </c>
      <c r="AP93">
        <v>0</v>
      </c>
      <c r="AQ93">
        <v>1</v>
      </c>
      <c r="AR93">
        <v>0</v>
      </c>
      <c r="AS93">
        <v>0</v>
      </c>
      <c r="AT93">
        <v>0</v>
      </c>
      <c r="AU93">
        <v>0</v>
      </c>
      <c r="AV93">
        <v>0</v>
      </c>
      <c r="AW93">
        <v>0</v>
      </c>
      <c r="AX93">
        <v>0</v>
      </c>
      <c r="AY93">
        <v>0</v>
      </c>
      <c r="AZ93">
        <v>0</v>
      </c>
      <c r="BA93">
        <v>0</v>
      </c>
      <c r="BB93">
        <v>1</v>
      </c>
      <c r="BC93">
        <v>0</v>
      </c>
    </row>
    <row r="94" spans="1:55" x14ac:dyDescent="0.3">
      <c r="A94">
        <v>36</v>
      </c>
      <c r="B94" t="s">
        <v>60</v>
      </c>
      <c r="C94" t="s">
        <v>112</v>
      </c>
      <c r="D94" t="s">
        <v>130</v>
      </c>
      <c r="E94" t="s">
        <v>137</v>
      </c>
      <c r="F94" t="s">
        <v>159</v>
      </c>
      <c r="G94">
        <v>81</v>
      </c>
      <c r="H94">
        <v>1</v>
      </c>
      <c r="I94" t="s">
        <v>193</v>
      </c>
      <c r="J94" t="s">
        <v>230</v>
      </c>
      <c r="L94">
        <v>1989</v>
      </c>
      <c r="M94">
        <v>1991</v>
      </c>
      <c r="N94">
        <v>20</v>
      </c>
      <c r="O94">
        <v>39</v>
      </c>
      <c r="R94" t="s">
        <v>232</v>
      </c>
      <c r="S94">
        <v>0.134615384615385</v>
      </c>
      <c r="T94">
        <v>8.1911170765792365E-2</v>
      </c>
      <c r="U94">
        <v>0.21335058819869249</v>
      </c>
      <c r="V94">
        <v>3.4769620754596539E-2</v>
      </c>
      <c r="W94">
        <v>14</v>
      </c>
      <c r="X94">
        <v>104</v>
      </c>
      <c r="Y94" t="s">
        <v>236</v>
      </c>
      <c r="Z94">
        <v>1</v>
      </c>
      <c r="AA94">
        <v>0</v>
      </c>
      <c r="AB94">
        <v>0</v>
      </c>
      <c r="AC94">
        <v>95</v>
      </c>
      <c r="AD94" t="s">
        <v>239</v>
      </c>
      <c r="AE94" t="s">
        <v>240</v>
      </c>
      <c r="AF94" t="s">
        <v>243</v>
      </c>
      <c r="AH94" t="s">
        <v>266</v>
      </c>
      <c r="AI94" t="s">
        <v>262</v>
      </c>
      <c r="AJ94" t="s">
        <v>296</v>
      </c>
      <c r="AK94" t="s">
        <v>327</v>
      </c>
      <c r="AL94" t="s">
        <v>349</v>
      </c>
      <c r="AM94" t="s">
        <v>382</v>
      </c>
      <c r="AN94">
        <v>0</v>
      </c>
      <c r="AO94">
        <v>0</v>
      </c>
      <c r="AP94">
        <v>0</v>
      </c>
      <c r="AQ94">
        <v>0</v>
      </c>
      <c r="AR94">
        <v>0</v>
      </c>
      <c r="AS94">
        <v>0</v>
      </c>
      <c r="AT94">
        <v>0</v>
      </c>
      <c r="AU94">
        <v>0</v>
      </c>
      <c r="AV94">
        <v>0</v>
      </c>
      <c r="AW94">
        <v>0</v>
      </c>
      <c r="AX94">
        <v>0</v>
      </c>
      <c r="AY94">
        <v>0</v>
      </c>
      <c r="AZ94">
        <v>0</v>
      </c>
      <c r="BA94">
        <v>0</v>
      </c>
      <c r="BB94">
        <v>0</v>
      </c>
      <c r="BC94">
        <v>1</v>
      </c>
    </row>
    <row r="95" spans="1:55" x14ac:dyDescent="0.3">
      <c r="A95">
        <v>36</v>
      </c>
      <c r="B95" t="s">
        <v>60</v>
      </c>
      <c r="C95" t="s">
        <v>112</v>
      </c>
      <c r="D95" t="s">
        <v>130</v>
      </c>
      <c r="E95" t="s">
        <v>137</v>
      </c>
      <c r="F95" t="s">
        <v>159</v>
      </c>
      <c r="G95">
        <v>81</v>
      </c>
      <c r="H95">
        <v>1</v>
      </c>
      <c r="I95" t="s">
        <v>193</v>
      </c>
      <c r="J95" t="s">
        <v>231</v>
      </c>
      <c r="L95">
        <v>1989</v>
      </c>
      <c r="M95">
        <v>1991</v>
      </c>
      <c r="N95">
        <v>20</v>
      </c>
      <c r="O95">
        <v>39</v>
      </c>
      <c r="R95" t="s">
        <v>232</v>
      </c>
      <c r="S95">
        <v>0.11504424778761101</v>
      </c>
      <c r="T95">
        <v>6.8477207745363158E-2</v>
      </c>
      <c r="U95">
        <v>0.18692407808152101</v>
      </c>
      <c r="V95">
        <v>3.12438130568213E-2</v>
      </c>
      <c r="W95">
        <v>13</v>
      </c>
      <c r="X95">
        <v>113</v>
      </c>
      <c r="Y95" t="s">
        <v>236</v>
      </c>
      <c r="Z95">
        <v>1</v>
      </c>
      <c r="AA95">
        <v>0</v>
      </c>
      <c r="AB95">
        <v>0</v>
      </c>
      <c r="AC95">
        <v>95</v>
      </c>
      <c r="AD95" t="s">
        <v>239</v>
      </c>
      <c r="AE95" t="s">
        <v>240</v>
      </c>
      <c r="AF95" t="s">
        <v>243</v>
      </c>
      <c r="AH95" t="s">
        <v>266</v>
      </c>
      <c r="AI95" t="s">
        <v>262</v>
      </c>
      <c r="AJ95" t="s">
        <v>296</v>
      </c>
      <c r="AK95" t="s">
        <v>327</v>
      </c>
      <c r="AL95" t="s">
        <v>349</v>
      </c>
      <c r="AM95" t="s">
        <v>382</v>
      </c>
      <c r="AN95">
        <v>0</v>
      </c>
      <c r="AO95">
        <v>0</v>
      </c>
      <c r="AP95">
        <v>0</v>
      </c>
      <c r="AQ95">
        <v>0</v>
      </c>
      <c r="AR95">
        <v>0</v>
      </c>
      <c r="AS95">
        <v>0</v>
      </c>
      <c r="AT95">
        <v>0</v>
      </c>
      <c r="AU95">
        <v>0</v>
      </c>
      <c r="AV95">
        <v>0</v>
      </c>
      <c r="AW95">
        <v>0</v>
      </c>
      <c r="AX95">
        <v>0</v>
      </c>
      <c r="AY95">
        <v>0</v>
      </c>
      <c r="AZ95">
        <v>0</v>
      </c>
      <c r="BA95">
        <v>0</v>
      </c>
      <c r="BB95">
        <v>0</v>
      </c>
      <c r="BC95">
        <v>1</v>
      </c>
    </row>
    <row r="96" spans="1:55" x14ac:dyDescent="0.3">
      <c r="A96">
        <v>36</v>
      </c>
      <c r="B96" t="s">
        <v>60</v>
      </c>
      <c r="C96" t="s">
        <v>112</v>
      </c>
      <c r="D96" t="s">
        <v>130</v>
      </c>
      <c r="E96" t="s">
        <v>137</v>
      </c>
      <c r="F96" t="s">
        <v>159</v>
      </c>
      <c r="G96">
        <v>81</v>
      </c>
      <c r="H96">
        <v>1</v>
      </c>
      <c r="I96" t="s">
        <v>193</v>
      </c>
      <c r="J96" t="s">
        <v>229</v>
      </c>
      <c r="K96">
        <f>120/(235)</f>
        <v>0.51063829787234039</v>
      </c>
      <c r="L96">
        <v>1989</v>
      </c>
      <c r="M96">
        <v>1991</v>
      </c>
      <c r="N96">
        <v>40</v>
      </c>
      <c r="O96">
        <v>99</v>
      </c>
      <c r="R96" t="s">
        <v>232</v>
      </c>
      <c r="S96">
        <v>0</v>
      </c>
      <c r="T96">
        <v>0</v>
      </c>
      <c r="U96">
        <v>8.1733166397747348E-3</v>
      </c>
      <c r="V96">
        <v>4.1701361373192641E-3</v>
      </c>
      <c r="W96">
        <v>0</v>
      </c>
      <c r="X96">
        <v>235</v>
      </c>
      <c r="Y96" t="s">
        <v>236</v>
      </c>
      <c r="Z96">
        <v>1</v>
      </c>
      <c r="AA96">
        <v>0</v>
      </c>
      <c r="AB96">
        <v>0</v>
      </c>
      <c r="AC96">
        <v>95</v>
      </c>
      <c r="AD96" t="s">
        <v>239</v>
      </c>
      <c r="AE96" t="s">
        <v>240</v>
      </c>
      <c r="AF96" t="s">
        <v>243</v>
      </c>
      <c r="AH96" t="s">
        <v>248</v>
      </c>
      <c r="AI96" t="s">
        <v>258</v>
      </c>
      <c r="AJ96" t="s">
        <v>296</v>
      </c>
      <c r="AK96" t="s">
        <v>326</v>
      </c>
      <c r="AL96" t="s">
        <v>349</v>
      </c>
      <c r="AM96" t="s">
        <v>382</v>
      </c>
      <c r="AN96">
        <v>0</v>
      </c>
      <c r="AO96">
        <v>1</v>
      </c>
      <c r="AP96">
        <v>1</v>
      </c>
      <c r="AQ96">
        <v>0</v>
      </c>
      <c r="AR96">
        <v>0</v>
      </c>
      <c r="AS96">
        <v>0</v>
      </c>
      <c r="AT96">
        <v>0</v>
      </c>
      <c r="AU96">
        <v>0</v>
      </c>
      <c r="AV96">
        <v>0</v>
      </c>
      <c r="AW96">
        <v>0</v>
      </c>
      <c r="AX96">
        <v>0</v>
      </c>
      <c r="AY96">
        <v>0</v>
      </c>
      <c r="AZ96">
        <v>0</v>
      </c>
      <c r="BA96">
        <v>1</v>
      </c>
      <c r="BB96">
        <v>0</v>
      </c>
      <c r="BC96">
        <v>0</v>
      </c>
    </row>
    <row r="97" spans="1:55" x14ac:dyDescent="0.3">
      <c r="A97">
        <v>36</v>
      </c>
      <c r="B97" t="s">
        <v>60</v>
      </c>
      <c r="C97" t="s">
        <v>112</v>
      </c>
      <c r="D97" t="s">
        <v>130</v>
      </c>
      <c r="E97" t="s">
        <v>137</v>
      </c>
      <c r="F97" t="s">
        <v>159</v>
      </c>
      <c r="G97">
        <v>81</v>
      </c>
      <c r="H97">
        <v>1</v>
      </c>
      <c r="I97" t="s">
        <v>193</v>
      </c>
      <c r="J97" t="s">
        <v>229</v>
      </c>
      <c r="K97">
        <f>120/(235)</f>
        <v>0.51063829787234039</v>
      </c>
      <c r="L97">
        <v>1989</v>
      </c>
      <c r="M97">
        <v>1991</v>
      </c>
      <c r="N97">
        <v>40</v>
      </c>
      <c r="O97">
        <v>99</v>
      </c>
      <c r="R97" t="s">
        <v>232</v>
      </c>
      <c r="S97">
        <v>4.2553191489361703E-3</v>
      </c>
      <c r="T97">
        <v>0</v>
      </c>
      <c r="U97">
        <v>1.5920105726773989E-2</v>
      </c>
      <c r="V97">
        <v>5.9515310841669351E-3</v>
      </c>
      <c r="W97">
        <v>1</v>
      </c>
      <c r="X97">
        <v>235</v>
      </c>
      <c r="Y97" t="s">
        <v>236</v>
      </c>
      <c r="Z97">
        <v>1</v>
      </c>
      <c r="AA97">
        <v>0</v>
      </c>
      <c r="AB97">
        <v>0</v>
      </c>
      <c r="AC97">
        <v>95</v>
      </c>
      <c r="AD97" t="s">
        <v>239</v>
      </c>
      <c r="AE97" t="s">
        <v>240</v>
      </c>
      <c r="AF97" t="s">
        <v>243</v>
      </c>
      <c r="AH97" t="s">
        <v>249</v>
      </c>
      <c r="AI97" t="s">
        <v>253</v>
      </c>
      <c r="AJ97" t="s">
        <v>296</v>
      </c>
      <c r="AK97" t="s">
        <v>326</v>
      </c>
      <c r="AL97" t="s">
        <v>349</v>
      </c>
      <c r="AM97" t="s">
        <v>382</v>
      </c>
      <c r="AN97">
        <v>0</v>
      </c>
      <c r="AO97">
        <v>1</v>
      </c>
      <c r="AP97">
        <v>0</v>
      </c>
      <c r="AQ97">
        <v>1</v>
      </c>
      <c r="AR97">
        <v>0</v>
      </c>
      <c r="AS97">
        <v>0</v>
      </c>
      <c r="AT97">
        <v>0</v>
      </c>
      <c r="AU97">
        <v>0</v>
      </c>
      <c r="AV97">
        <v>0</v>
      </c>
      <c r="AW97">
        <v>0</v>
      </c>
      <c r="AX97">
        <v>0</v>
      </c>
      <c r="AY97">
        <v>0</v>
      </c>
      <c r="AZ97">
        <v>0</v>
      </c>
      <c r="BA97">
        <v>0</v>
      </c>
      <c r="BB97">
        <v>1</v>
      </c>
      <c r="BC97">
        <v>0</v>
      </c>
    </row>
    <row r="98" spans="1:55" x14ac:dyDescent="0.3">
      <c r="A98">
        <v>36</v>
      </c>
      <c r="B98" t="s">
        <v>60</v>
      </c>
      <c r="C98" t="s">
        <v>112</v>
      </c>
      <c r="D98" t="s">
        <v>130</v>
      </c>
      <c r="E98" t="s">
        <v>137</v>
      </c>
      <c r="F98" t="s">
        <v>159</v>
      </c>
      <c r="G98">
        <v>81</v>
      </c>
      <c r="H98">
        <v>1</v>
      </c>
      <c r="I98" t="s">
        <v>193</v>
      </c>
      <c r="J98" t="s">
        <v>230</v>
      </c>
      <c r="L98">
        <v>1989</v>
      </c>
      <c r="M98">
        <v>1991</v>
      </c>
      <c r="N98">
        <v>40</v>
      </c>
      <c r="O98">
        <v>99</v>
      </c>
      <c r="R98" t="s">
        <v>232</v>
      </c>
      <c r="S98">
        <v>6.08695652173913E-2</v>
      </c>
      <c r="T98">
        <v>2.9795116013329809E-2</v>
      </c>
      <c r="U98">
        <v>0.12033312204215391</v>
      </c>
      <c r="V98">
        <v>2.3868381611031241E-2</v>
      </c>
      <c r="W98">
        <v>7</v>
      </c>
      <c r="X98">
        <v>115</v>
      </c>
      <c r="Y98" t="s">
        <v>236</v>
      </c>
      <c r="Z98">
        <v>1</v>
      </c>
      <c r="AA98">
        <v>0</v>
      </c>
      <c r="AB98">
        <v>0</v>
      </c>
      <c r="AC98">
        <v>95</v>
      </c>
      <c r="AD98" t="s">
        <v>239</v>
      </c>
      <c r="AE98" t="s">
        <v>240</v>
      </c>
      <c r="AF98" t="s">
        <v>243</v>
      </c>
      <c r="AH98" t="s">
        <v>266</v>
      </c>
      <c r="AI98" t="s">
        <v>262</v>
      </c>
      <c r="AJ98" t="s">
        <v>296</v>
      </c>
      <c r="AK98" t="s">
        <v>327</v>
      </c>
      <c r="AL98" t="s">
        <v>349</v>
      </c>
      <c r="AM98" t="s">
        <v>382</v>
      </c>
      <c r="AN98">
        <v>0</v>
      </c>
      <c r="AO98">
        <v>0</v>
      </c>
      <c r="AP98">
        <v>0</v>
      </c>
      <c r="AQ98">
        <v>0</v>
      </c>
      <c r="AR98">
        <v>0</v>
      </c>
      <c r="AS98">
        <v>0</v>
      </c>
      <c r="AT98">
        <v>0</v>
      </c>
      <c r="AU98">
        <v>0</v>
      </c>
      <c r="AV98">
        <v>0</v>
      </c>
      <c r="AW98">
        <v>0</v>
      </c>
      <c r="AX98">
        <v>0</v>
      </c>
      <c r="AY98">
        <v>0</v>
      </c>
      <c r="AZ98">
        <v>0</v>
      </c>
      <c r="BA98">
        <v>0</v>
      </c>
      <c r="BB98">
        <v>0</v>
      </c>
      <c r="BC98">
        <v>1</v>
      </c>
    </row>
    <row r="99" spans="1:55" x14ac:dyDescent="0.3">
      <c r="A99">
        <v>36</v>
      </c>
      <c r="B99" t="s">
        <v>60</v>
      </c>
      <c r="C99" t="s">
        <v>112</v>
      </c>
      <c r="D99" t="s">
        <v>130</v>
      </c>
      <c r="E99" t="s">
        <v>137</v>
      </c>
      <c r="F99" t="s">
        <v>159</v>
      </c>
      <c r="G99">
        <v>81</v>
      </c>
      <c r="H99">
        <v>1</v>
      </c>
      <c r="I99" t="s">
        <v>193</v>
      </c>
      <c r="J99" t="s">
        <v>231</v>
      </c>
      <c r="L99">
        <v>1989</v>
      </c>
      <c r="M99">
        <v>1991</v>
      </c>
      <c r="N99">
        <v>40</v>
      </c>
      <c r="O99">
        <v>99</v>
      </c>
      <c r="R99" t="s">
        <v>232</v>
      </c>
      <c r="S99">
        <v>9.1666666666666702E-2</v>
      </c>
      <c r="T99">
        <v>5.1957182848565472E-2</v>
      </c>
      <c r="U99">
        <v>0.1567084697267091</v>
      </c>
      <c r="V99">
        <v>2.7578211221099339E-2</v>
      </c>
      <c r="W99">
        <v>11</v>
      </c>
      <c r="X99">
        <v>120</v>
      </c>
      <c r="Y99" t="s">
        <v>236</v>
      </c>
      <c r="Z99">
        <v>1</v>
      </c>
      <c r="AA99">
        <v>0</v>
      </c>
      <c r="AB99">
        <v>0</v>
      </c>
      <c r="AC99">
        <v>95</v>
      </c>
      <c r="AD99" t="s">
        <v>239</v>
      </c>
      <c r="AE99" t="s">
        <v>240</v>
      </c>
      <c r="AF99" t="s">
        <v>243</v>
      </c>
      <c r="AH99" t="s">
        <v>266</v>
      </c>
      <c r="AI99" t="s">
        <v>262</v>
      </c>
      <c r="AJ99" t="s">
        <v>296</v>
      </c>
      <c r="AK99" t="s">
        <v>327</v>
      </c>
      <c r="AL99" t="s">
        <v>349</v>
      </c>
      <c r="AM99" t="s">
        <v>382</v>
      </c>
      <c r="AN99">
        <v>0</v>
      </c>
      <c r="AO99">
        <v>0</v>
      </c>
      <c r="AP99">
        <v>0</v>
      </c>
      <c r="AQ99">
        <v>0</v>
      </c>
      <c r="AR99">
        <v>0</v>
      </c>
      <c r="AS99">
        <v>0</v>
      </c>
      <c r="AT99">
        <v>0</v>
      </c>
      <c r="AU99">
        <v>0</v>
      </c>
      <c r="AV99">
        <v>0</v>
      </c>
      <c r="AW99">
        <v>0</v>
      </c>
      <c r="AX99">
        <v>0</v>
      </c>
      <c r="AY99">
        <v>0</v>
      </c>
      <c r="AZ99">
        <v>0</v>
      </c>
      <c r="BA99">
        <v>0</v>
      </c>
      <c r="BB99">
        <v>0</v>
      </c>
      <c r="BC99">
        <v>1</v>
      </c>
    </row>
    <row r="100" spans="1:55" x14ac:dyDescent="0.3">
      <c r="A100">
        <v>37</v>
      </c>
      <c r="B100" t="s">
        <v>55</v>
      </c>
      <c r="C100" t="s">
        <v>108</v>
      </c>
      <c r="D100" t="s">
        <v>130</v>
      </c>
      <c r="E100" t="s">
        <v>138</v>
      </c>
      <c r="F100" t="s">
        <v>144</v>
      </c>
      <c r="G100">
        <v>71</v>
      </c>
      <c r="H100">
        <v>1</v>
      </c>
      <c r="I100" t="s">
        <v>188</v>
      </c>
      <c r="J100" t="s">
        <v>229</v>
      </c>
      <c r="K100">
        <v>0.51</v>
      </c>
      <c r="L100">
        <v>2001</v>
      </c>
      <c r="M100">
        <v>2003</v>
      </c>
      <c r="N100">
        <v>24</v>
      </c>
      <c r="O100">
        <v>25</v>
      </c>
      <c r="R100" t="s">
        <v>232</v>
      </c>
      <c r="S100">
        <v>0.186</v>
      </c>
      <c r="T100">
        <v>0.16500000000000001</v>
      </c>
      <c r="U100">
        <v>0.20699999999999999</v>
      </c>
      <c r="V100">
        <v>1.071448259541773E-2</v>
      </c>
      <c r="W100">
        <v>361.39800000000002</v>
      </c>
      <c r="X100">
        <v>1943</v>
      </c>
      <c r="Y100" t="s">
        <v>236</v>
      </c>
      <c r="Z100">
        <v>1</v>
      </c>
      <c r="AA100">
        <v>0</v>
      </c>
      <c r="AB100">
        <v>0</v>
      </c>
      <c r="AC100">
        <v>95</v>
      </c>
      <c r="AD100" t="s">
        <v>239</v>
      </c>
      <c r="AE100" t="s">
        <v>240</v>
      </c>
      <c r="AF100" t="s">
        <v>243</v>
      </c>
      <c r="AG100">
        <v>0.78</v>
      </c>
      <c r="AH100" t="s">
        <v>247</v>
      </c>
      <c r="AI100" t="s">
        <v>262</v>
      </c>
      <c r="AJ100" t="s">
        <v>297</v>
      </c>
      <c r="AK100" t="s">
        <v>323</v>
      </c>
      <c r="AL100" t="s">
        <v>344</v>
      </c>
      <c r="AM100" t="s">
        <v>379</v>
      </c>
      <c r="AN100">
        <v>0</v>
      </c>
      <c r="AO100">
        <v>0</v>
      </c>
      <c r="AP100">
        <v>0</v>
      </c>
      <c r="AQ100">
        <v>0</v>
      </c>
      <c r="AR100">
        <v>0</v>
      </c>
      <c r="AS100">
        <v>0</v>
      </c>
      <c r="AT100">
        <v>0</v>
      </c>
      <c r="AU100">
        <v>0</v>
      </c>
      <c r="AV100">
        <v>0</v>
      </c>
      <c r="AW100">
        <v>0</v>
      </c>
      <c r="AX100">
        <v>0</v>
      </c>
      <c r="AY100">
        <v>0</v>
      </c>
      <c r="AZ100">
        <v>0</v>
      </c>
      <c r="BA100">
        <v>0</v>
      </c>
      <c r="BB100">
        <v>0</v>
      </c>
      <c r="BC100">
        <v>1</v>
      </c>
    </row>
    <row r="101" spans="1:55" x14ac:dyDescent="0.3">
      <c r="A101">
        <v>37</v>
      </c>
      <c r="B101" t="s">
        <v>55</v>
      </c>
      <c r="C101" t="s">
        <v>108</v>
      </c>
      <c r="D101" t="s">
        <v>130</v>
      </c>
      <c r="E101" t="s">
        <v>138</v>
      </c>
      <c r="F101" t="s">
        <v>144</v>
      </c>
      <c r="G101">
        <v>71</v>
      </c>
      <c r="H101">
        <v>1</v>
      </c>
      <c r="I101" t="s">
        <v>188</v>
      </c>
      <c r="J101" t="s">
        <v>229</v>
      </c>
      <c r="K101">
        <v>0.51</v>
      </c>
      <c r="L101">
        <v>2001</v>
      </c>
      <c r="M101">
        <v>2003</v>
      </c>
      <c r="N101">
        <v>24</v>
      </c>
      <c r="O101">
        <v>25</v>
      </c>
      <c r="R101" t="s">
        <v>232</v>
      </c>
      <c r="S101">
        <v>3.1E-2</v>
      </c>
      <c r="T101">
        <v>1.9E-2</v>
      </c>
      <c r="U101">
        <v>4.2000000000000003E-2</v>
      </c>
      <c r="V101">
        <v>6.1225614830958484E-3</v>
      </c>
      <c r="W101">
        <v>60.232999999999997</v>
      </c>
      <c r="X101">
        <v>1943</v>
      </c>
      <c r="Y101" t="s">
        <v>236</v>
      </c>
      <c r="Z101">
        <v>1</v>
      </c>
      <c r="AA101">
        <v>0</v>
      </c>
      <c r="AB101">
        <v>0</v>
      </c>
      <c r="AC101">
        <v>95</v>
      </c>
      <c r="AD101" t="s">
        <v>239</v>
      </c>
      <c r="AE101" t="s">
        <v>240</v>
      </c>
      <c r="AF101" t="s">
        <v>243</v>
      </c>
      <c r="AG101">
        <v>0.78</v>
      </c>
      <c r="AH101" t="s">
        <v>248</v>
      </c>
      <c r="AI101" t="s">
        <v>258</v>
      </c>
      <c r="AJ101" t="s">
        <v>297</v>
      </c>
      <c r="AK101" t="s">
        <v>325</v>
      </c>
      <c r="AL101" t="s">
        <v>344</v>
      </c>
      <c r="AM101" t="s">
        <v>379</v>
      </c>
      <c r="AN101">
        <v>0</v>
      </c>
      <c r="AO101">
        <v>1</v>
      </c>
      <c r="AP101">
        <v>1</v>
      </c>
      <c r="AQ101">
        <v>0</v>
      </c>
      <c r="AR101">
        <v>0</v>
      </c>
      <c r="AS101">
        <v>0</v>
      </c>
      <c r="AT101">
        <v>0</v>
      </c>
      <c r="AU101">
        <v>0</v>
      </c>
      <c r="AV101">
        <v>0</v>
      </c>
      <c r="AW101">
        <v>0</v>
      </c>
      <c r="AX101">
        <v>0</v>
      </c>
      <c r="AY101">
        <v>0</v>
      </c>
      <c r="AZ101">
        <v>0</v>
      </c>
      <c r="BA101">
        <v>1</v>
      </c>
      <c r="BB101">
        <v>0</v>
      </c>
      <c r="BC101">
        <v>0</v>
      </c>
    </row>
    <row r="102" spans="1:55" x14ac:dyDescent="0.3">
      <c r="A102">
        <v>37</v>
      </c>
      <c r="B102" t="s">
        <v>55</v>
      </c>
      <c r="C102" t="s">
        <v>108</v>
      </c>
      <c r="D102" t="s">
        <v>130</v>
      </c>
      <c r="E102" t="s">
        <v>138</v>
      </c>
      <c r="F102" t="s">
        <v>144</v>
      </c>
      <c r="G102">
        <v>71</v>
      </c>
      <c r="H102">
        <v>1</v>
      </c>
      <c r="I102" t="s">
        <v>188</v>
      </c>
      <c r="J102" t="s">
        <v>229</v>
      </c>
      <c r="K102">
        <v>0.51</v>
      </c>
      <c r="L102">
        <v>2001</v>
      </c>
      <c r="M102">
        <v>2003</v>
      </c>
      <c r="N102">
        <v>24</v>
      </c>
      <c r="O102">
        <v>25</v>
      </c>
      <c r="R102" t="s">
        <v>232</v>
      </c>
      <c r="S102">
        <v>3.5000000000000003E-2</v>
      </c>
      <c r="T102">
        <v>2.7E-2</v>
      </c>
      <c r="U102">
        <v>4.3999999999999997E-2</v>
      </c>
      <c r="V102">
        <v>4.5919211123218824E-3</v>
      </c>
      <c r="W102">
        <v>68.00500000000001</v>
      </c>
      <c r="X102">
        <v>1943</v>
      </c>
      <c r="Y102" t="s">
        <v>236</v>
      </c>
      <c r="Z102">
        <v>1</v>
      </c>
      <c r="AA102">
        <v>0</v>
      </c>
      <c r="AB102">
        <v>0</v>
      </c>
      <c r="AC102">
        <v>95</v>
      </c>
      <c r="AD102" t="s">
        <v>239</v>
      </c>
      <c r="AE102" t="s">
        <v>240</v>
      </c>
      <c r="AF102" t="s">
        <v>243</v>
      </c>
      <c r="AG102">
        <v>0.78</v>
      </c>
      <c r="AH102" t="s">
        <v>249</v>
      </c>
      <c r="AI102" t="s">
        <v>253</v>
      </c>
      <c r="AJ102" t="s">
        <v>297</v>
      </c>
      <c r="AK102" t="s">
        <v>325</v>
      </c>
      <c r="AL102" t="s">
        <v>344</v>
      </c>
      <c r="AM102" t="s">
        <v>379</v>
      </c>
      <c r="AN102">
        <v>0</v>
      </c>
      <c r="AO102">
        <v>1</v>
      </c>
      <c r="AP102">
        <v>0</v>
      </c>
      <c r="AQ102">
        <v>1</v>
      </c>
      <c r="AR102">
        <v>0</v>
      </c>
      <c r="AS102">
        <v>0</v>
      </c>
      <c r="AT102">
        <v>0</v>
      </c>
      <c r="AU102">
        <v>0</v>
      </c>
      <c r="AV102">
        <v>0</v>
      </c>
      <c r="AW102">
        <v>0</v>
      </c>
      <c r="AX102">
        <v>0</v>
      </c>
      <c r="AY102">
        <v>0</v>
      </c>
      <c r="AZ102">
        <v>0</v>
      </c>
      <c r="BA102">
        <v>0</v>
      </c>
      <c r="BB102">
        <v>1</v>
      </c>
      <c r="BC102">
        <v>0</v>
      </c>
    </row>
    <row r="103" spans="1:55" x14ac:dyDescent="0.3">
      <c r="A103">
        <v>38</v>
      </c>
      <c r="B103" t="s">
        <v>78</v>
      </c>
      <c r="D103" t="s">
        <v>134</v>
      </c>
      <c r="E103" t="s">
        <v>138</v>
      </c>
      <c r="F103" t="s">
        <v>142</v>
      </c>
      <c r="G103">
        <v>102</v>
      </c>
      <c r="H103">
        <v>0</v>
      </c>
      <c r="I103" t="s">
        <v>208</v>
      </c>
      <c r="J103" t="s">
        <v>231</v>
      </c>
      <c r="L103">
        <v>2001</v>
      </c>
      <c r="M103">
        <v>2004</v>
      </c>
      <c r="N103">
        <v>20</v>
      </c>
      <c r="O103">
        <v>24</v>
      </c>
      <c r="R103" t="s">
        <v>232</v>
      </c>
      <c r="S103">
        <v>0.12838905214263399</v>
      </c>
      <c r="T103">
        <v>0.1032782651941284</v>
      </c>
      <c r="U103">
        <v>0.15349983909113951</v>
      </c>
      <c r="V103">
        <v>1.28118614150955E-2</v>
      </c>
      <c r="W103">
        <v>145.46479607760429</v>
      </c>
      <c r="X103">
        <v>1133</v>
      </c>
      <c r="Y103" t="s">
        <v>236</v>
      </c>
      <c r="Z103">
        <v>1</v>
      </c>
      <c r="AA103">
        <v>0</v>
      </c>
      <c r="AB103">
        <v>0</v>
      </c>
      <c r="AC103">
        <v>95</v>
      </c>
      <c r="AD103" t="s">
        <v>238</v>
      </c>
      <c r="AE103" t="s">
        <v>240</v>
      </c>
      <c r="AF103" t="s">
        <v>243</v>
      </c>
      <c r="AH103" t="s">
        <v>247</v>
      </c>
      <c r="AI103" t="s">
        <v>262</v>
      </c>
      <c r="AJ103" t="s">
        <v>294</v>
      </c>
      <c r="AK103" t="s">
        <v>327</v>
      </c>
      <c r="AL103" t="s">
        <v>339</v>
      </c>
      <c r="AM103" t="s">
        <v>375</v>
      </c>
      <c r="AN103">
        <v>0</v>
      </c>
      <c r="AO103">
        <v>0</v>
      </c>
      <c r="AP103">
        <v>0</v>
      </c>
      <c r="AQ103">
        <v>0</v>
      </c>
      <c r="AR103">
        <v>0</v>
      </c>
      <c r="AS103">
        <v>0</v>
      </c>
      <c r="AT103">
        <v>0</v>
      </c>
      <c r="AU103">
        <v>0</v>
      </c>
      <c r="AV103">
        <v>0</v>
      </c>
      <c r="AW103">
        <v>0</v>
      </c>
      <c r="AX103">
        <v>0</v>
      </c>
      <c r="AY103">
        <v>0</v>
      </c>
      <c r="AZ103">
        <v>1</v>
      </c>
      <c r="BA103">
        <v>0</v>
      </c>
      <c r="BB103">
        <v>0</v>
      </c>
      <c r="BC103">
        <v>0</v>
      </c>
    </row>
    <row r="104" spans="1:55" x14ac:dyDescent="0.3">
      <c r="A104">
        <v>38</v>
      </c>
      <c r="B104" t="s">
        <v>78</v>
      </c>
      <c r="D104" t="s">
        <v>134</v>
      </c>
      <c r="E104" t="s">
        <v>138</v>
      </c>
      <c r="F104" t="s">
        <v>142</v>
      </c>
      <c r="G104">
        <v>102</v>
      </c>
      <c r="H104">
        <v>0</v>
      </c>
      <c r="I104" t="s">
        <v>208</v>
      </c>
      <c r="J104" t="s">
        <v>231</v>
      </c>
      <c r="L104">
        <v>2001</v>
      </c>
      <c r="M104">
        <v>2004</v>
      </c>
      <c r="N104">
        <v>25</v>
      </c>
      <c r="O104">
        <v>29</v>
      </c>
      <c r="R104" t="s">
        <v>232</v>
      </c>
      <c r="S104">
        <v>0.108890192430409</v>
      </c>
      <c r="T104">
        <v>9.0705082214984856E-2</v>
      </c>
      <c r="U104">
        <v>0.12707530264583311</v>
      </c>
      <c r="V104">
        <v>9.2782879475673905E-3</v>
      </c>
      <c r="W104">
        <v>180.10437827989651</v>
      </c>
      <c r="X104">
        <v>1654</v>
      </c>
      <c r="Y104" t="s">
        <v>236</v>
      </c>
      <c r="Z104">
        <v>1</v>
      </c>
      <c r="AA104">
        <v>0</v>
      </c>
      <c r="AB104">
        <v>0</v>
      </c>
      <c r="AC104">
        <v>95</v>
      </c>
      <c r="AD104" t="s">
        <v>238</v>
      </c>
      <c r="AE104" t="s">
        <v>240</v>
      </c>
      <c r="AF104" t="s">
        <v>243</v>
      </c>
      <c r="AH104" t="s">
        <v>247</v>
      </c>
      <c r="AI104" t="s">
        <v>262</v>
      </c>
      <c r="AJ104" t="s">
        <v>294</v>
      </c>
      <c r="AK104" t="s">
        <v>327</v>
      </c>
      <c r="AL104" t="s">
        <v>339</v>
      </c>
      <c r="AM104" t="s">
        <v>375</v>
      </c>
      <c r="AN104">
        <v>0</v>
      </c>
      <c r="AO104">
        <v>0</v>
      </c>
      <c r="AP104">
        <v>0</v>
      </c>
      <c r="AQ104">
        <v>0</v>
      </c>
      <c r="AR104">
        <v>0</v>
      </c>
      <c r="AS104">
        <v>0</v>
      </c>
      <c r="AT104">
        <v>0</v>
      </c>
      <c r="AU104">
        <v>0</v>
      </c>
      <c r="AV104">
        <v>0</v>
      </c>
      <c r="AW104">
        <v>0</v>
      </c>
      <c r="AX104">
        <v>0</v>
      </c>
      <c r="AY104">
        <v>0</v>
      </c>
      <c r="AZ104">
        <v>1</v>
      </c>
      <c r="BA104">
        <v>0</v>
      </c>
      <c r="BB104">
        <v>0</v>
      </c>
      <c r="BC104">
        <v>0</v>
      </c>
    </row>
    <row r="105" spans="1:55" x14ac:dyDescent="0.3">
      <c r="A105">
        <v>38</v>
      </c>
      <c r="B105" t="s">
        <v>78</v>
      </c>
      <c r="D105" t="s">
        <v>134</v>
      </c>
      <c r="E105" t="s">
        <v>138</v>
      </c>
      <c r="F105" t="s">
        <v>142</v>
      </c>
      <c r="G105">
        <v>102</v>
      </c>
      <c r="H105">
        <v>0</v>
      </c>
      <c r="I105" t="s">
        <v>208</v>
      </c>
      <c r="J105" t="s">
        <v>231</v>
      </c>
      <c r="L105">
        <v>2001</v>
      </c>
      <c r="M105">
        <v>2004</v>
      </c>
      <c r="N105">
        <v>30</v>
      </c>
      <c r="O105">
        <v>34</v>
      </c>
      <c r="R105" t="s">
        <v>232</v>
      </c>
      <c r="S105">
        <v>0.121253318247993</v>
      </c>
      <c r="T105">
        <v>0.1039876690123859</v>
      </c>
      <c r="U105">
        <v>0.13851896748360021</v>
      </c>
      <c r="V105">
        <v>8.8091665825476301E-3</v>
      </c>
      <c r="W105">
        <v>227.34997171498691</v>
      </c>
      <c r="X105">
        <v>1875</v>
      </c>
      <c r="Y105" t="s">
        <v>236</v>
      </c>
      <c r="Z105">
        <v>1</v>
      </c>
      <c r="AA105">
        <v>0</v>
      </c>
      <c r="AB105">
        <v>0</v>
      </c>
      <c r="AC105">
        <v>95</v>
      </c>
      <c r="AD105" t="s">
        <v>238</v>
      </c>
      <c r="AE105" t="s">
        <v>240</v>
      </c>
      <c r="AF105" t="s">
        <v>243</v>
      </c>
      <c r="AH105" t="s">
        <v>247</v>
      </c>
      <c r="AI105" t="s">
        <v>262</v>
      </c>
      <c r="AJ105" t="s">
        <v>294</v>
      </c>
      <c r="AK105" t="s">
        <v>327</v>
      </c>
      <c r="AL105" t="s">
        <v>339</v>
      </c>
      <c r="AM105" t="s">
        <v>375</v>
      </c>
      <c r="AN105">
        <v>0</v>
      </c>
      <c r="AO105">
        <v>0</v>
      </c>
      <c r="AP105">
        <v>0</v>
      </c>
      <c r="AQ105">
        <v>0</v>
      </c>
      <c r="AR105">
        <v>0</v>
      </c>
      <c r="AS105">
        <v>0</v>
      </c>
      <c r="AT105">
        <v>0</v>
      </c>
      <c r="AU105">
        <v>0</v>
      </c>
      <c r="AV105">
        <v>0</v>
      </c>
      <c r="AW105">
        <v>0</v>
      </c>
      <c r="AX105">
        <v>0</v>
      </c>
      <c r="AY105">
        <v>0</v>
      </c>
      <c r="AZ105">
        <v>1</v>
      </c>
      <c r="BA105">
        <v>0</v>
      </c>
      <c r="BB105">
        <v>0</v>
      </c>
      <c r="BC105">
        <v>0</v>
      </c>
    </row>
    <row r="106" spans="1:55" x14ac:dyDescent="0.3">
      <c r="A106">
        <v>38</v>
      </c>
      <c r="B106" t="s">
        <v>78</v>
      </c>
      <c r="D106" t="s">
        <v>134</v>
      </c>
      <c r="E106" t="s">
        <v>138</v>
      </c>
      <c r="F106" t="s">
        <v>142</v>
      </c>
      <c r="G106">
        <v>102</v>
      </c>
      <c r="H106">
        <v>0</v>
      </c>
      <c r="I106" t="s">
        <v>208</v>
      </c>
      <c r="J106" t="s">
        <v>231</v>
      </c>
      <c r="L106">
        <v>2001</v>
      </c>
      <c r="M106">
        <v>2004</v>
      </c>
      <c r="N106">
        <v>35</v>
      </c>
      <c r="O106">
        <v>39</v>
      </c>
      <c r="R106" t="s">
        <v>232</v>
      </c>
      <c r="S106">
        <v>0.10797638576789401</v>
      </c>
      <c r="T106">
        <v>9.1749093916999216E-2</v>
      </c>
      <c r="U106">
        <v>0.1242036776187888</v>
      </c>
      <c r="V106">
        <v>8.2793826717702992E-3</v>
      </c>
      <c r="W106">
        <v>223.5111185395406</v>
      </c>
      <c r="X106">
        <v>2070</v>
      </c>
      <c r="Y106" t="s">
        <v>236</v>
      </c>
      <c r="Z106">
        <v>1</v>
      </c>
      <c r="AA106">
        <v>0</v>
      </c>
      <c r="AB106">
        <v>0</v>
      </c>
      <c r="AC106">
        <v>95</v>
      </c>
      <c r="AD106" t="s">
        <v>238</v>
      </c>
      <c r="AE106" t="s">
        <v>240</v>
      </c>
      <c r="AF106" t="s">
        <v>243</v>
      </c>
      <c r="AH106" t="s">
        <v>247</v>
      </c>
      <c r="AI106" t="s">
        <v>262</v>
      </c>
      <c r="AJ106" t="s">
        <v>294</v>
      </c>
      <c r="AK106" t="s">
        <v>327</v>
      </c>
      <c r="AL106" t="s">
        <v>339</v>
      </c>
      <c r="AM106" t="s">
        <v>375</v>
      </c>
      <c r="AN106">
        <v>0</v>
      </c>
      <c r="AO106">
        <v>0</v>
      </c>
      <c r="AP106">
        <v>0</v>
      </c>
      <c r="AQ106">
        <v>0</v>
      </c>
      <c r="AR106">
        <v>0</v>
      </c>
      <c r="AS106">
        <v>0</v>
      </c>
      <c r="AT106">
        <v>0</v>
      </c>
      <c r="AU106">
        <v>0</v>
      </c>
      <c r="AV106">
        <v>0</v>
      </c>
      <c r="AW106">
        <v>0</v>
      </c>
      <c r="AX106">
        <v>0</v>
      </c>
      <c r="AY106">
        <v>0</v>
      </c>
      <c r="AZ106">
        <v>1</v>
      </c>
      <c r="BA106">
        <v>0</v>
      </c>
      <c r="BB106">
        <v>0</v>
      </c>
      <c r="BC106">
        <v>0</v>
      </c>
    </row>
    <row r="107" spans="1:55" x14ac:dyDescent="0.3">
      <c r="A107">
        <v>38</v>
      </c>
      <c r="B107" t="s">
        <v>78</v>
      </c>
      <c r="D107" t="s">
        <v>134</v>
      </c>
      <c r="E107" t="s">
        <v>138</v>
      </c>
      <c r="F107" t="s">
        <v>142</v>
      </c>
      <c r="G107">
        <v>102</v>
      </c>
      <c r="H107">
        <v>0</v>
      </c>
      <c r="I107" t="s">
        <v>208</v>
      </c>
      <c r="J107" t="s">
        <v>231</v>
      </c>
      <c r="L107">
        <v>2001</v>
      </c>
      <c r="M107">
        <v>2004</v>
      </c>
      <c r="N107">
        <v>40</v>
      </c>
      <c r="O107">
        <v>44</v>
      </c>
      <c r="R107" t="s">
        <v>232</v>
      </c>
      <c r="S107">
        <v>9.97361867969664E-2</v>
      </c>
      <c r="T107">
        <v>8.3995293581763955E-2</v>
      </c>
      <c r="U107">
        <v>0.1154770800121688</v>
      </c>
      <c r="V107">
        <v>8.0312155424102707E-3</v>
      </c>
      <c r="W107">
        <v>229.59270200661669</v>
      </c>
      <c r="X107">
        <v>2302</v>
      </c>
      <c r="Y107" t="s">
        <v>236</v>
      </c>
      <c r="Z107">
        <v>1</v>
      </c>
      <c r="AA107">
        <v>0</v>
      </c>
      <c r="AB107">
        <v>0</v>
      </c>
      <c r="AC107">
        <v>95</v>
      </c>
      <c r="AD107" t="s">
        <v>238</v>
      </c>
      <c r="AE107" t="s">
        <v>240</v>
      </c>
      <c r="AF107" t="s">
        <v>243</v>
      </c>
      <c r="AH107" t="s">
        <v>247</v>
      </c>
      <c r="AI107" t="s">
        <v>262</v>
      </c>
      <c r="AJ107" t="s">
        <v>294</v>
      </c>
      <c r="AK107" t="s">
        <v>327</v>
      </c>
      <c r="AL107" t="s">
        <v>339</v>
      </c>
      <c r="AM107" t="s">
        <v>375</v>
      </c>
      <c r="AN107">
        <v>0</v>
      </c>
      <c r="AO107">
        <v>0</v>
      </c>
      <c r="AP107">
        <v>0</v>
      </c>
      <c r="AQ107">
        <v>0</v>
      </c>
      <c r="AR107">
        <v>0</v>
      </c>
      <c r="AS107">
        <v>0</v>
      </c>
      <c r="AT107">
        <v>0</v>
      </c>
      <c r="AU107">
        <v>0</v>
      </c>
      <c r="AV107">
        <v>0</v>
      </c>
      <c r="AW107">
        <v>0</v>
      </c>
      <c r="AX107">
        <v>0</v>
      </c>
      <c r="AY107">
        <v>0</v>
      </c>
      <c r="AZ107">
        <v>1</v>
      </c>
      <c r="BA107">
        <v>0</v>
      </c>
      <c r="BB107">
        <v>0</v>
      </c>
      <c r="BC107">
        <v>0</v>
      </c>
    </row>
    <row r="108" spans="1:55" x14ac:dyDescent="0.3">
      <c r="A108">
        <v>38</v>
      </c>
      <c r="B108" t="s">
        <v>78</v>
      </c>
      <c r="D108" t="s">
        <v>134</v>
      </c>
      <c r="E108" t="s">
        <v>138</v>
      </c>
      <c r="F108" t="s">
        <v>142</v>
      </c>
      <c r="G108">
        <v>102</v>
      </c>
      <c r="H108">
        <v>0</v>
      </c>
      <c r="I108" t="s">
        <v>208</v>
      </c>
      <c r="J108" t="s">
        <v>231</v>
      </c>
      <c r="L108">
        <v>2001</v>
      </c>
      <c r="M108">
        <v>2004</v>
      </c>
      <c r="N108">
        <v>45</v>
      </c>
      <c r="O108">
        <v>49</v>
      </c>
      <c r="R108" t="s">
        <v>232</v>
      </c>
      <c r="S108">
        <v>8.9173732998743399E-2</v>
      </c>
      <c r="T108">
        <v>7.2912116184975007E-2</v>
      </c>
      <c r="U108">
        <v>0.10543534981251181</v>
      </c>
      <c r="V108">
        <v>8.2968957297368494E-3</v>
      </c>
      <c r="W108">
        <v>171.39191482358481</v>
      </c>
      <c r="X108">
        <v>1922</v>
      </c>
      <c r="Y108" t="s">
        <v>236</v>
      </c>
      <c r="Z108">
        <v>1</v>
      </c>
      <c r="AA108">
        <v>0</v>
      </c>
      <c r="AB108">
        <v>0</v>
      </c>
      <c r="AC108">
        <v>95</v>
      </c>
      <c r="AD108" t="s">
        <v>238</v>
      </c>
      <c r="AE108" t="s">
        <v>240</v>
      </c>
      <c r="AF108" t="s">
        <v>243</v>
      </c>
      <c r="AH108" t="s">
        <v>247</v>
      </c>
      <c r="AI108" t="s">
        <v>262</v>
      </c>
      <c r="AJ108" t="s">
        <v>294</v>
      </c>
      <c r="AK108" t="s">
        <v>327</v>
      </c>
      <c r="AL108" t="s">
        <v>339</v>
      </c>
      <c r="AM108" t="s">
        <v>375</v>
      </c>
      <c r="AN108">
        <v>0</v>
      </c>
      <c r="AO108">
        <v>0</v>
      </c>
      <c r="AP108">
        <v>0</v>
      </c>
      <c r="AQ108">
        <v>0</v>
      </c>
      <c r="AR108">
        <v>0</v>
      </c>
      <c r="AS108">
        <v>0</v>
      </c>
      <c r="AT108">
        <v>0</v>
      </c>
      <c r="AU108">
        <v>0</v>
      </c>
      <c r="AV108">
        <v>0</v>
      </c>
      <c r="AW108">
        <v>0</v>
      </c>
      <c r="AX108">
        <v>0</v>
      </c>
      <c r="AY108">
        <v>0</v>
      </c>
      <c r="AZ108">
        <v>1</v>
      </c>
      <c r="BA108">
        <v>0</v>
      </c>
      <c r="BB108">
        <v>0</v>
      </c>
      <c r="BC108">
        <v>0</v>
      </c>
    </row>
    <row r="109" spans="1:55" x14ac:dyDescent="0.3">
      <c r="A109">
        <v>38</v>
      </c>
      <c r="B109" t="s">
        <v>78</v>
      </c>
      <c r="D109" t="s">
        <v>134</v>
      </c>
      <c r="E109" t="s">
        <v>138</v>
      </c>
      <c r="F109" t="s">
        <v>142</v>
      </c>
      <c r="G109">
        <v>102</v>
      </c>
      <c r="H109">
        <v>0</v>
      </c>
      <c r="I109" t="s">
        <v>208</v>
      </c>
      <c r="J109" t="s">
        <v>231</v>
      </c>
      <c r="L109">
        <v>2001</v>
      </c>
      <c r="M109">
        <v>2004</v>
      </c>
      <c r="N109">
        <v>50</v>
      </c>
      <c r="O109">
        <v>54</v>
      </c>
      <c r="R109" t="s">
        <v>232</v>
      </c>
      <c r="S109">
        <v>8.9760980698957299E-2</v>
      </c>
      <c r="T109">
        <v>7.225940427632091E-2</v>
      </c>
      <c r="U109">
        <v>0.1072625571215937</v>
      </c>
      <c r="V109">
        <v>8.9295398082243297E-3</v>
      </c>
      <c r="W109">
        <v>157.88956504946589</v>
      </c>
      <c r="X109">
        <v>1759</v>
      </c>
      <c r="Y109" t="s">
        <v>236</v>
      </c>
      <c r="Z109">
        <v>1</v>
      </c>
      <c r="AA109">
        <v>0</v>
      </c>
      <c r="AB109">
        <v>0</v>
      </c>
      <c r="AC109">
        <v>95</v>
      </c>
      <c r="AD109" t="s">
        <v>238</v>
      </c>
      <c r="AE109" t="s">
        <v>240</v>
      </c>
      <c r="AF109" t="s">
        <v>243</v>
      </c>
      <c r="AH109" t="s">
        <v>247</v>
      </c>
      <c r="AI109" t="s">
        <v>262</v>
      </c>
      <c r="AJ109" t="s">
        <v>294</v>
      </c>
      <c r="AK109" t="s">
        <v>327</v>
      </c>
      <c r="AL109" t="s">
        <v>339</v>
      </c>
      <c r="AM109" t="s">
        <v>375</v>
      </c>
      <c r="AN109">
        <v>0</v>
      </c>
      <c r="AO109">
        <v>0</v>
      </c>
      <c r="AP109">
        <v>0</v>
      </c>
      <c r="AQ109">
        <v>0</v>
      </c>
      <c r="AR109">
        <v>0</v>
      </c>
      <c r="AS109">
        <v>0</v>
      </c>
      <c r="AT109">
        <v>0</v>
      </c>
      <c r="AU109">
        <v>0</v>
      </c>
      <c r="AV109">
        <v>0</v>
      </c>
      <c r="AW109">
        <v>0</v>
      </c>
      <c r="AX109">
        <v>0</v>
      </c>
      <c r="AY109">
        <v>0</v>
      </c>
      <c r="AZ109">
        <v>1</v>
      </c>
      <c r="BA109">
        <v>0</v>
      </c>
      <c r="BB109">
        <v>0</v>
      </c>
      <c r="BC109">
        <v>0</v>
      </c>
    </row>
    <row r="110" spans="1:55" x14ac:dyDescent="0.3">
      <c r="A110">
        <v>38</v>
      </c>
      <c r="B110" t="s">
        <v>78</v>
      </c>
      <c r="D110" t="s">
        <v>134</v>
      </c>
      <c r="E110" t="s">
        <v>138</v>
      </c>
      <c r="F110" t="s">
        <v>142</v>
      </c>
      <c r="G110">
        <v>102</v>
      </c>
      <c r="H110">
        <v>0</v>
      </c>
      <c r="I110" t="s">
        <v>208</v>
      </c>
      <c r="J110" t="s">
        <v>231</v>
      </c>
      <c r="L110">
        <v>2001</v>
      </c>
      <c r="M110">
        <v>2004</v>
      </c>
      <c r="N110">
        <v>55</v>
      </c>
      <c r="O110">
        <v>59</v>
      </c>
      <c r="R110" t="s">
        <v>232</v>
      </c>
      <c r="S110">
        <v>6.1492044944614001E-2</v>
      </c>
      <c r="T110">
        <v>4.7333896286912397E-2</v>
      </c>
      <c r="U110">
        <v>7.5650193602315591E-2</v>
      </c>
      <c r="V110">
        <v>7.2236779702990802E-3</v>
      </c>
      <c r="W110">
        <v>101.8923184732254</v>
      </c>
      <c r="X110">
        <v>1657</v>
      </c>
      <c r="Y110" t="s">
        <v>236</v>
      </c>
      <c r="Z110">
        <v>1</v>
      </c>
      <c r="AA110">
        <v>0</v>
      </c>
      <c r="AB110">
        <v>0</v>
      </c>
      <c r="AC110">
        <v>95</v>
      </c>
      <c r="AD110" t="s">
        <v>238</v>
      </c>
      <c r="AE110" t="s">
        <v>240</v>
      </c>
      <c r="AF110" t="s">
        <v>243</v>
      </c>
      <c r="AH110" t="s">
        <v>247</v>
      </c>
      <c r="AI110" t="s">
        <v>262</v>
      </c>
      <c r="AJ110" t="s">
        <v>294</v>
      </c>
      <c r="AK110" t="s">
        <v>327</v>
      </c>
      <c r="AL110" t="s">
        <v>339</v>
      </c>
      <c r="AM110" t="s">
        <v>375</v>
      </c>
      <c r="AN110">
        <v>0</v>
      </c>
      <c r="AO110">
        <v>0</v>
      </c>
      <c r="AP110">
        <v>0</v>
      </c>
      <c r="AQ110">
        <v>0</v>
      </c>
      <c r="AR110">
        <v>0</v>
      </c>
      <c r="AS110">
        <v>0</v>
      </c>
      <c r="AT110">
        <v>0</v>
      </c>
      <c r="AU110">
        <v>0</v>
      </c>
      <c r="AV110">
        <v>0</v>
      </c>
      <c r="AW110">
        <v>0</v>
      </c>
      <c r="AX110">
        <v>0</v>
      </c>
      <c r="AY110">
        <v>0</v>
      </c>
      <c r="AZ110">
        <v>1</v>
      </c>
      <c r="BA110">
        <v>0</v>
      </c>
      <c r="BB110">
        <v>0</v>
      </c>
      <c r="BC110">
        <v>0</v>
      </c>
    </row>
    <row r="111" spans="1:55" x14ac:dyDescent="0.3">
      <c r="A111">
        <v>38</v>
      </c>
      <c r="B111" t="s">
        <v>78</v>
      </c>
      <c r="D111" t="s">
        <v>134</v>
      </c>
      <c r="E111" t="s">
        <v>138</v>
      </c>
      <c r="F111" t="s">
        <v>142</v>
      </c>
      <c r="G111">
        <v>102</v>
      </c>
      <c r="H111">
        <v>0</v>
      </c>
      <c r="I111" t="s">
        <v>208</v>
      </c>
      <c r="J111" t="s">
        <v>231</v>
      </c>
      <c r="L111">
        <v>2001</v>
      </c>
      <c r="M111">
        <v>2004</v>
      </c>
      <c r="N111">
        <v>65</v>
      </c>
      <c r="O111">
        <v>69</v>
      </c>
      <c r="R111" t="s">
        <v>232</v>
      </c>
      <c r="S111">
        <v>3.50117990956436E-2</v>
      </c>
      <c r="T111">
        <v>2.3230827189114001E-2</v>
      </c>
      <c r="U111">
        <v>4.6792771002173203E-2</v>
      </c>
      <c r="V111">
        <v>6.0108104023626997E-3</v>
      </c>
      <c r="W111">
        <v>37.567660429625583</v>
      </c>
      <c r="X111">
        <v>1073</v>
      </c>
      <c r="Y111" t="s">
        <v>236</v>
      </c>
      <c r="Z111">
        <v>1</v>
      </c>
      <c r="AA111">
        <v>0</v>
      </c>
      <c r="AB111">
        <v>0</v>
      </c>
      <c r="AC111">
        <v>95</v>
      </c>
      <c r="AD111" t="s">
        <v>238</v>
      </c>
      <c r="AE111" t="s">
        <v>240</v>
      </c>
      <c r="AF111" t="s">
        <v>243</v>
      </c>
      <c r="AH111" t="s">
        <v>247</v>
      </c>
      <c r="AI111" t="s">
        <v>262</v>
      </c>
      <c r="AJ111" t="s">
        <v>294</v>
      </c>
      <c r="AK111" t="s">
        <v>327</v>
      </c>
      <c r="AL111" t="s">
        <v>339</v>
      </c>
      <c r="AM111" t="s">
        <v>375</v>
      </c>
      <c r="AN111">
        <v>0</v>
      </c>
      <c r="AO111">
        <v>0</v>
      </c>
      <c r="AP111">
        <v>0</v>
      </c>
      <c r="AQ111">
        <v>0</v>
      </c>
      <c r="AR111">
        <v>0</v>
      </c>
      <c r="AS111">
        <v>0</v>
      </c>
      <c r="AT111">
        <v>0</v>
      </c>
      <c r="AU111">
        <v>0</v>
      </c>
      <c r="AV111">
        <v>0</v>
      </c>
      <c r="AW111">
        <v>0</v>
      </c>
      <c r="AX111">
        <v>0</v>
      </c>
      <c r="AY111">
        <v>0</v>
      </c>
      <c r="AZ111">
        <v>1</v>
      </c>
      <c r="BA111">
        <v>0</v>
      </c>
      <c r="BB111">
        <v>0</v>
      </c>
      <c r="BC111">
        <v>0</v>
      </c>
    </row>
    <row r="112" spans="1:55" x14ac:dyDescent="0.3">
      <c r="A112">
        <v>38</v>
      </c>
      <c r="B112" t="s">
        <v>78</v>
      </c>
      <c r="D112" t="s">
        <v>134</v>
      </c>
      <c r="E112" t="s">
        <v>138</v>
      </c>
      <c r="F112" t="s">
        <v>142</v>
      </c>
      <c r="G112">
        <v>102</v>
      </c>
      <c r="H112">
        <v>0</v>
      </c>
      <c r="I112" t="s">
        <v>208</v>
      </c>
      <c r="J112" t="s">
        <v>231</v>
      </c>
      <c r="L112">
        <v>2001</v>
      </c>
      <c r="M112">
        <v>2004</v>
      </c>
      <c r="N112">
        <v>70</v>
      </c>
      <c r="O112">
        <v>74</v>
      </c>
      <c r="R112" t="s">
        <v>232</v>
      </c>
      <c r="S112">
        <v>1.8188847099549401E-2</v>
      </c>
      <c r="T112">
        <v>9.0146257015878001E-3</v>
      </c>
      <c r="U112">
        <v>2.7363068497510998E-2</v>
      </c>
      <c r="V112">
        <v>4.6808112140461202E-3</v>
      </c>
      <c r="W112">
        <v>19.189233690024619</v>
      </c>
      <c r="X112">
        <v>1055</v>
      </c>
      <c r="Y112" t="s">
        <v>236</v>
      </c>
      <c r="Z112">
        <v>1</v>
      </c>
      <c r="AA112">
        <v>0</v>
      </c>
      <c r="AB112">
        <v>0</v>
      </c>
      <c r="AC112">
        <v>95</v>
      </c>
      <c r="AD112" t="s">
        <v>238</v>
      </c>
      <c r="AE112" t="s">
        <v>240</v>
      </c>
      <c r="AF112" t="s">
        <v>243</v>
      </c>
      <c r="AH112" t="s">
        <v>247</v>
      </c>
      <c r="AI112" t="s">
        <v>262</v>
      </c>
      <c r="AJ112" t="s">
        <v>294</v>
      </c>
      <c r="AK112" t="s">
        <v>327</v>
      </c>
      <c r="AL112" t="s">
        <v>339</v>
      </c>
      <c r="AM112" t="s">
        <v>375</v>
      </c>
      <c r="AN112">
        <v>0</v>
      </c>
      <c r="AO112">
        <v>0</v>
      </c>
      <c r="AP112">
        <v>0</v>
      </c>
      <c r="AQ112">
        <v>0</v>
      </c>
      <c r="AR112">
        <v>0</v>
      </c>
      <c r="AS112">
        <v>0</v>
      </c>
      <c r="AT112">
        <v>0</v>
      </c>
      <c r="AU112">
        <v>0</v>
      </c>
      <c r="AV112">
        <v>0</v>
      </c>
      <c r="AW112">
        <v>0</v>
      </c>
      <c r="AX112">
        <v>0</v>
      </c>
      <c r="AY112">
        <v>0</v>
      </c>
      <c r="AZ112">
        <v>1</v>
      </c>
      <c r="BA112">
        <v>0</v>
      </c>
      <c r="BB112">
        <v>0</v>
      </c>
      <c r="BC112">
        <v>0</v>
      </c>
    </row>
    <row r="113" spans="1:55" x14ac:dyDescent="0.3">
      <c r="A113">
        <v>38</v>
      </c>
      <c r="B113" t="s">
        <v>78</v>
      </c>
      <c r="D113" t="s">
        <v>134</v>
      </c>
      <c r="E113" t="s">
        <v>138</v>
      </c>
      <c r="F113" t="s">
        <v>142</v>
      </c>
      <c r="G113">
        <v>102</v>
      </c>
      <c r="H113">
        <v>0</v>
      </c>
      <c r="I113" t="s">
        <v>208</v>
      </c>
      <c r="J113" t="s">
        <v>231</v>
      </c>
      <c r="L113">
        <v>2001</v>
      </c>
      <c r="M113">
        <v>2004</v>
      </c>
      <c r="N113">
        <v>75</v>
      </c>
      <c r="O113">
        <v>79</v>
      </c>
      <c r="R113" t="s">
        <v>232</v>
      </c>
      <c r="S113">
        <v>2.7300667622075201E-2</v>
      </c>
      <c r="T113">
        <v>1.4772688215995771E-2</v>
      </c>
      <c r="U113">
        <v>3.9828647028154633E-2</v>
      </c>
      <c r="V113">
        <v>6.3919436810566596E-3</v>
      </c>
      <c r="W113">
        <v>26.672752266767471</v>
      </c>
      <c r="X113">
        <v>977</v>
      </c>
      <c r="Y113" t="s">
        <v>236</v>
      </c>
      <c r="Z113">
        <v>1</v>
      </c>
      <c r="AA113">
        <v>0</v>
      </c>
      <c r="AB113">
        <v>0</v>
      </c>
      <c r="AC113">
        <v>95</v>
      </c>
      <c r="AD113" t="s">
        <v>238</v>
      </c>
      <c r="AE113" t="s">
        <v>240</v>
      </c>
      <c r="AF113" t="s">
        <v>243</v>
      </c>
      <c r="AH113" t="s">
        <v>247</v>
      </c>
      <c r="AI113" t="s">
        <v>262</v>
      </c>
      <c r="AJ113" t="s">
        <v>294</v>
      </c>
      <c r="AK113" t="s">
        <v>327</v>
      </c>
      <c r="AL113" t="s">
        <v>339</v>
      </c>
      <c r="AM113" t="s">
        <v>375</v>
      </c>
      <c r="AN113">
        <v>0</v>
      </c>
      <c r="AO113">
        <v>0</v>
      </c>
      <c r="AP113">
        <v>0</v>
      </c>
      <c r="AQ113">
        <v>0</v>
      </c>
      <c r="AR113">
        <v>0</v>
      </c>
      <c r="AS113">
        <v>0</v>
      </c>
      <c r="AT113">
        <v>0</v>
      </c>
      <c r="AU113">
        <v>0</v>
      </c>
      <c r="AV113">
        <v>0</v>
      </c>
      <c r="AW113">
        <v>0</v>
      </c>
      <c r="AX113">
        <v>0</v>
      </c>
      <c r="AY113">
        <v>0</v>
      </c>
      <c r="AZ113">
        <v>1</v>
      </c>
      <c r="BA113">
        <v>0</v>
      </c>
      <c r="BB113">
        <v>0</v>
      </c>
      <c r="BC113">
        <v>0</v>
      </c>
    </row>
    <row r="114" spans="1:55" x14ac:dyDescent="0.3">
      <c r="A114">
        <v>38</v>
      </c>
      <c r="B114" t="s">
        <v>78</v>
      </c>
      <c r="D114" t="s">
        <v>134</v>
      </c>
      <c r="E114" t="s">
        <v>138</v>
      </c>
      <c r="F114" t="s">
        <v>142</v>
      </c>
      <c r="G114">
        <v>102</v>
      </c>
      <c r="H114">
        <v>0</v>
      </c>
      <c r="I114" t="s">
        <v>208</v>
      </c>
      <c r="J114" t="s">
        <v>231</v>
      </c>
      <c r="L114">
        <v>2001</v>
      </c>
      <c r="M114">
        <v>2004</v>
      </c>
      <c r="N114">
        <v>80</v>
      </c>
      <c r="O114">
        <v>84</v>
      </c>
      <c r="R114" t="s">
        <v>232</v>
      </c>
      <c r="S114">
        <v>1.0373574026781299E-2</v>
      </c>
      <c r="T114">
        <v>2.6478521152572521E-3</v>
      </c>
      <c r="U114">
        <v>1.8099295938305351E-2</v>
      </c>
      <c r="V114">
        <v>3.9417672837172299E-3</v>
      </c>
      <c r="W114">
        <v>7.3548639849879409</v>
      </c>
      <c r="X114">
        <v>709</v>
      </c>
      <c r="Y114" t="s">
        <v>236</v>
      </c>
      <c r="Z114">
        <v>1</v>
      </c>
      <c r="AA114">
        <v>0</v>
      </c>
      <c r="AB114">
        <v>0</v>
      </c>
      <c r="AC114">
        <v>95</v>
      </c>
      <c r="AD114" t="s">
        <v>238</v>
      </c>
      <c r="AE114" t="s">
        <v>240</v>
      </c>
      <c r="AF114" t="s">
        <v>243</v>
      </c>
      <c r="AH114" t="s">
        <v>247</v>
      </c>
      <c r="AI114" t="s">
        <v>262</v>
      </c>
      <c r="AJ114" t="s">
        <v>294</v>
      </c>
      <c r="AK114" t="s">
        <v>327</v>
      </c>
      <c r="AL114" t="s">
        <v>339</v>
      </c>
      <c r="AM114" t="s">
        <v>375</v>
      </c>
      <c r="AN114">
        <v>0</v>
      </c>
      <c r="AO114">
        <v>0</v>
      </c>
      <c r="AP114">
        <v>0</v>
      </c>
      <c r="AQ114">
        <v>0</v>
      </c>
      <c r="AR114">
        <v>0</v>
      </c>
      <c r="AS114">
        <v>0</v>
      </c>
      <c r="AT114">
        <v>0</v>
      </c>
      <c r="AU114">
        <v>0</v>
      </c>
      <c r="AV114">
        <v>0</v>
      </c>
      <c r="AW114">
        <v>0</v>
      </c>
      <c r="AX114">
        <v>0</v>
      </c>
      <c r="AY114">
        <v>0</v>
      </c>
      <c r="AZ114">
        <v>1</v>
      </c>
      <c r="BA114">
        <v>0</v>
      </c>
      <c r="BB114">
        <v>0</v>
      </c>
      <c r="BC114">
        <v>0</v>
      </c>
    </row>
    <row r="115" spans="1:55" x14ac:dyDescent="0.3">
      <c r="A115">
        <v>38</v>
      </c>
      <c r="B115" t="s">
        <v>78</v>
      </c>
      <c r="D115" t="s">
        <v>134</v>
      </c>
      <c r="E115" t="s">
        <v>138</v>
      </c>
      <c r="F115" t="s">
        <v>142</v>
      </c>
      <c r="G115">
        <v>102</v>
      </c>
      <c r="H115">
        <v>0</v>
      </c>
      <c r="I115" t="s">
        <v>208</v>
      </c>
      <c r="J115" t="s">
        <v>230</v>
      </c>
      <c r="L115">
        <v>2001</v>
      </c>
      <c r="M115">
        <v>2004</v>
      </c>
      <c r="N115">
        <v>20</v>
      </c>
      <c r="O115">
        <v>24</v>
      </c>
      <c r="R115" t="s">
        <v>232</v>
      </c>
      <c r="S115">
        <v>0.148936325564652</v>
      </c>
      <c r="T115">
        <v>0.1227027489079877</v>
      </c>
      <c r="U115">
        <v>0.17516990222131629</v>
      </c>
      <c r="V115">
        <v>1.3384723833494599E-2</v>
      </c>
      <c r="W115">
        <v>156.38314184288461</v>
      </c>
      <c r="X115">
        <v>1050</v>
      </c>
      <c r="Y115" t="s">
        <v>236</v>
      </c>
      <c r="Z115">
        <v>1</v>
      </c>
      <c r="AA115">
        <v>0</v>
      </c>
      <c r="AB115">
        <v>0</v>
      </c>
      <c r="AC115">
        <v>95</v>
      </c>
      <c r="AD115" t="s">
        <v>238</v>
      </c>
      <c r="AE115" t="s">
        <v>240</v>
      </c>
      <c r="AF115" t="s">
        <v>243</v>
      </c>
      <c r="AH115" t="s">
        <v>247</v>
      </c>
      <c r="AI115" t="s">
        <v>262</v>
      </c>
      <c r="AJ115" t="s">
        <v>294</v>
      </c>
      <c r="AK115" t="s">
        <v>327</v>
      </c>
      <c r="AL115" t="s">
        <v>339</v>
      </c>
      <c r="AM115" t="s">
        <v>375</v>
      </c>
      <c r="AN115">
        <v>0</v>
      </c>
      <c r="AO115">
        <v>0</v>
      </c>
      <c r="AP115">
        <v>0</v>
      </c>
      <c r="AQ115">
        <v>0</v>
      </c>
      <c r="AR115">
        <v>0</v>
      </c>
      <c r="AS115">
        <v>0</v>
      </c>
      <c r="AT115">
        <v>0</v>
      </c>
      <c r="AU115">
        <v>0</v>
      </c>
      <c r="AV115">
        <v>0</v>
      </c>
      <c r="AW115">
        <v>0</v>
      </c>
      <c r="AX115">
        <v>0</v>
      </c>
      <c r="AY115">
        <v>0</v>
      </c>
      <c r="AZ115">
        <v>1</v>
      </c>
      <c r="BA115">
        <v>0</v>
      </c>
      <c r="BB115">
        <v>0</v>
      </c>
      <c r="BC115">
        <v>0</v>
      </c>
    </row>
    <row r="116" spans="1:55" x14ac:dyDescent="0.3">
      <c r="A116">
        <v>38</v>
      </c>
      <c r="B116" t="s">
        <v>78</v>
      </c>
      <c r="D116" t="s">
        <v>134</v>
      </c>
      <c r="E116" t="s">
        <v>138</v>
      </c>
      <c r="F116" t="s">
        <v>142</v>
      </c>
      <c r="G116">
        <v>102</v>
      </c>
      <c r="H116">
        <v>0</v>
      </c>
      <c r="I116" t="s">
        <v>208</v>
      </c>
      <c r="J116" t="s">
        <v>230</v>
      </c>
      <c r="L116">
        <v>2001</v>
      </c>
      <c r="M116">
        <v>2004</v>
      </c>
      <c r="N116">
        <v>25</v>
      </c>
      <c r="O116">
        <v>29</v>
      </c>
      <c r="R116" t="s">
        <v>232</v>
      </c>
      <c r="S116">
        <v>0.157848474040024</v>
      </c>
      <c r="T116">
        <v>0.13050149654903459</v>
      </c>
      <c r="U116">
        <v>0.18519545153101341</v>
      </c>
      <c r="V116">
        <v>1.3952795922118399E-2</v>
      </c>
      <c r="W116">
        <v>169.84495806706579</v>
      </c>
      <c r="X116">
        <v>1076</v>
      </c>
      <c r="Y116" t="s">
        <v>236</v>
      </c>
      <c r="Z116">
        <v>1</v>
      </c>
      <c r="AA116">
        <v>0</v>
      </c>
      <c r="AB116">
        <v>0</v>
      </c>
      <c r="AC116">
        <v>95</v>
      </c>
      <c r="AD116" t="s">
        <v>238</v>
      </c>
      <c r="AE116" t="s">
        <v>240</v>
      </c>
      <c r="AF116" t="s">
        <v>243</v>
      </c>
      <c r="AH116" t="s">
        <v>247</v>
      </c>
      <c r="AI116" t="s">
        <v>262</v>
      </c>
      <c r="AJ116" t="s">
        <v>294</v>
      </c>
      <c r="AK116" t="s">
        <v>327</v>
      </c>
      <c r="AL116" t="s">
        <v>339</v>
      </c>
      <c r="AM116" t="s">
        <v>375</v>
      </c>
      <c r="AN116">
        <v>0</v>
      </c>
      <c r="AO116">
        <v>0</v>
      </c>
      <c r="AP116">
        <v>0</v>
      </c>
      <c r="AQ116">
        <v>0</v>
      </c>
      <c r="AR116">
        <v>0</v>
      </c>
      <c r="AS116">
        <v>0</v>
      </c>
      <c r="AT116">
        <v>0</v>
      </c>
      <c r="AU116">
        <v>0</v>
      </c>
      <c r="AV116">
        <v>0</v>
      </c>
      <c r="AW116">
        <v>0</v>
      </c>
      <c r="AX116">
        <v>0</v>
      </c>
      <c r="AY116">
        <v>0</v>
      </c>
      <c r="AZ116">
        <v>1</v>
      </c>
      <c r="BA116">
        <v>0</v>
      </c>
      <c r="BB116">
        <v>0</v>
      </c>
      <c r="BC116">
        <v>0</v>
      </c>
    </row>
    <row r="117" spans="1:55" x14ac:dyDescent="0.3">
      <c r="A117">
        <v>38</v>
      </c>
      <c r="B117" t="s">
        <v>78</v>
      </c>
      <c r="D117" t="s">
        <v>134</v>
      </c>
      <c r="E117" t="s">
        <v>138</v>
      </c>
      <c r="F117" t="s">
        <v>142</v>
      </c>
      <c r="G117">
        <v>102</v>
      </c>
      <c r="H117">
        <v>0</v>
      </c>
      <c r="I117" t="s">
        <v>208</v>
      </c>
      <c r="J117" t="s">
        <v>230</v>
      </c>
      <c r="L117">
        <v>2001</v>
      </c>
      <c r="M117">
        <v>2004</v>
      </c>
      <c r="N117">
        <v>30</v>
      </c>
      <c r="O117">
        <v>34</v>
      </c>
      <c r="R117" t="s">
        <v>232</v>
      </c>
      <c r="S117">
        <v>0.13590236051415</v>
      </c>
      <c r="T117">
        <v>0.11199952403267691</v>
      </c>
      <c r="U117">
        <v>0.15980519699562309</v>
      </c>
      <c r="V117">
        <v>1.21955488315171E-2</v>
      </c>
      <c r="W117">
        <v>168.65482939806009</v>
      </c>
      <c r="X117">
        <v>1241</v>
      </c>
      <c r="Y117" t="s">
        <v>236</v>
      </c>
      <c r="Z117">
        <v>1</v>
      </c>
      <c r="AA117">
        <v>0</v>
      </c>
      <c r="AB117">
        <v>0</v>
      </c>
      <c r="AC117">
        <v>95</v>
      </c>
      <c r="AD117" t="s">
        <v>238</v>
      </c>
      <c r="AE117" t="s">
        <v>240</v>
      </c>
      <c r="AF117" t="s">
        <v>243</v>
      </c>
      <c r="AH117" t="s">
        <v>247</v>
      </c>
      <c r="AI117" t="s">
        <v>262</v>
      </c>
      <c r="AJ117" t="s">
        <v>294</v>
      </c>
      <c r="AK117" t="s">
        <v>327</v>
      </c>
      <c r="AL117" t="s">
        <v>339</v>
      </c>
      <c r="AM117" t="s">
        <v>375</v>
      </c>
      <c r="AN117">
        <v>0</v>
      </c>
      <c r="AO117">
        <v>0</v>
      </c>
      <c r="AP117">
        <v>0</v>
      </c>
      <c r="AQ117">
        <v>0</v>
      </c>
      <c r="AR117">
        <v>0</v>
      </c>
      <c r="AS117">
        <v>0</v>
      </c>
      <c r="AT117">
        <v>0</v>
      </c>
      <c r="AU117">
        <v>0</v>
      </c>
      <c r="AV117">
        <v>0</v>
      </c>
      <c r="AW117">
        <v>0</v>
      </c>
      <c r="AX117">
        <v>0</v>
      </c>
      <c r="AY117">
        <v>0</v>
      </c>
      <c r="AZ117">
        <v>1</v>
      </c>
      <c r="BA117">
        <v>0</v>
      </c>
      <c r="BB117">
        <v>0</v>
      </c>
      <c r="BC117">
        <v>0</v>
      </c>
    </row>
    <row r="118" spans="1:55" x14ac:dyDescent="0.3">
      <c r="A118">
        <v>38</v>
      </c>
      <c r="B118" t="s">
        <v>78</v>
      </c>
      <c r="D118" t="s">
        <v>134</v>
      </c>
      <c r="E118" t="s">
        <v>138</v>
      </c>
      <c r="F118" t="s">
        <v>142</v>
      </c>
      <c r="G118">
        <v>102</v>
      </c>
      <c r="H118">
        <v>0</v>
      </c>
      <c r="I118" t="s">
        <v>208</v>
      </c>
      <c r="J118" t="s">
        <v>230</v>
      </c>
      <c r="L118">
        <v>2001</v>
      </c>
      <c r="M118">
        <v>2004</v>
      </c>
      <c r="N118">
        <v>35</v>
      </c>
      <c r="O118">
        <v>39</v>
      </c>
      <c r="R118" t="s">
        <v>232</v>
      </c>
      <c r="S118">
        <v>0.113349003568589</v>
      </c>
      <c r="T118">
        <v>9.2969011381768746E-2</v>
      </c>
      <c r="U118">
        <v>0.13372899575540931</v>
      </c>
      <c r="V118">
        <v>1.0398146265735E-2</v>
      </c>
      <c r="W118">
        <v>162.6558201209252</v>
      </c>
      <c r="X118">
        <v>1435</v>
      </c>
      <c r="Y118" t="s">
        <v>236</v>
      </c>
      <c r="Z118">
        <v>1</v>
      </c>
      <c r="AA118">
        <v>0</v>
      </c>
      <c r="AB118">
        <v>0</v>
      </c>
      <c r="AC118">
        <v>95</v>
      </c>
      <c r="AD118" t="s">
        <v>238</v>
      </c>
      <c r="AE118" t="s">
        <v>240</v>
      </c>
      <c r="AF118" t="s">
        <v>243</v>
      </c>
      <c r="AH118" t="s">
        <v>247</v>
      </c>
      <c r="AI118" t="s">
        <v>262</v>
      </c>
      <c r="AJ118" t="s">
        <v>294</v>
      </c>
      <c r="AK118" t="s">
        <v>327</v>
      </c>
      <c r="AL118" t="s">
        <v>339</v>
      </c>
      <c r="AM118" t="s">
        <v>375</v>
      </c>
      <c r="AN118">
        <v>0</v>
      </c>
      <c r="AO118">
        <v>0</v>
      </c>
      <c r="AP118">
        <v>0</v>
      </c>
      <c r="AQ118">
        <v>0</v>
      </c>
      <c r="AR118">
        <v>0</v>
      </c>
      <c r="AS118">
        <v>0</v>
      </c>
      <c r="AT118">
        <v>0</v>
      </c>
      <c r="AU118">
        <v>0</v>
      </c>
      <c r="AV118">
        <v>0</v>
      </c>
      <c r="AW118">
        <v>0</v>
      </c>
      <c r="AX118">
        <v>0</v>
      </c>
      <c r="AY118">
        <v>0</v>
      </c>
      <c r="AZ118">
        <v>1</v>
      </c>
      <c r="BA118">
        <v>0</v>
      </c>
      <c r="BB118">
        <v>0</v>
      </c>
      <c r="BC118">
        <v>0</v>
      </c>
    </row>
    <row r="119" spans="1:55" x14ac:dyDescent="0.3">
      <c r="A119">
        <v>38</v>
      </c>
      <c r="B119" t="s">
        <v>78</v>
      </c>
      <c r="D119" t="s">
        <v>134</v>
      </c>
      <c r="E119" t="s">
        <v>138</v>
      </c>
      <c r="F119" t="s">
        <v>142</v>
      </c>
      <c r="G119">
        <v>102</v>
      </c>
      <c r="H119">
        <v>0</v>
      </c>
      <c r="I119" t="s">
        <v>208</v>
      </c>
      <c r="J119" t="s">
        <v>230</v>
      </c>
      <c r="L119">
        <v>2001</v>
      </c>
      <c r="M119">
        <v>2004</v>
      </c>
      <c r="N119">
        <v>40</v>
      </c>
      <c r="O119">
        <v>44</v>
      </c>
      <c r="R119" t="s">
        <v>232</v>
      </c>
      <c r="S119">
        <v>0.10626766559531101</v>
      </c>
      <c r="T119">
        <v>9.0064406868185468E-2</v>
      </c>
      <c r="U119">
        <v>0.1224709243224365</v>
      </c>
      <c r="V119">
        <v>8.2671206486112907E-3</v>
      </c>
      <c r="W119">
        <v>178.5296782001225</v>
      </c>
      <c r="X119">
        <v>1680</v>
      </c>
      <c r="Y119" t="s">
        <v>236</v>
      </c>
      <c r="Z119">
        <v>1</v>
      </c>
      <c r="AA119">
        <v>0</v>
      </c>
      <c r="AB119">
        <v>0</v>
      </c>
      <c r="AC119">
        <v>95</v>
      </c>
      <c r="AD119" t="s">
        <v>238</v>
      </c>
      <c r="AE119" t="s">
        <v>240</v>
      </c>
      <c r="AF119" t="s">
        <v>243</v>
      </c>
      <c r="AH119" t="s">
        <v>247</v>
      </c>
      <c r="AI119" t="s">
        <v>262</v>
      </c>
      <c r="AJ119" t="s">
        <v>294</v>
      </c>
      <c r="AK119" t="s">
        <v>327</v>
      </c>
      <c r="AL119" t="s">
        <v>339</v>
      </c>
      <c r="AM119" t="s">
        <v>375</v>
      </c>
      <c r="AN119">
        <v>0</v>
      </c>
      <c r="AO119">
        <v>0</v>
      </c>
      <c r="AP119">
        <v>0</v>
      </c>
      <c r="AQ119">
        <v>0</v>
      </c>
      <c r="AR119">
        <v>0</v>
      </c>
      <c r="AS119">
        <v>0</v>
      </c>
      <c r="AT119">
        <v>0</v>
      </c>
      <c r="AU119">
        <v>0</v>
      </c>
      <c r="AV119">
        <v>0</v>
      </c>
      <c r="AW119">
        <v>0</v>
      </c>
      <c r="AX119">
        <v>0</v>
      </c>
      <c r="AY119">
        <v>0</v>
      </c>
      <c r="AZ119">
        <v>1</v>
      </c>
      <c r="BA119">
        <v>0</v>
      </c>
      <c r="BB119">
        <v>0</v>
      </c>
      <c r="BC119">
        <v>0</v>
      </c>
    </row>
    <row r="120" spans="1:55" x14ac:dyDescent="0.3">
      <c r="A120">
        <v>38</v>
      </c>
      <c r="B120" t="s">
        <v>78</v>
      </c>
      <c r="D120" t="s">
        <v>134</v>
      </c>
      <c r="E120" t="s">
        <v>138</v>
      </c>
      <c r="F120" t="s">
        <v>142</v>
      </c>
      <c r="G120">
        <v>102</v>
      </c>
      <c r="H120">
        <v>0</v>
      </c>
      <c r="I120" t="s">
        <v>208</v>
      </c>
      <c r="J120" t="s">
        <v>230</v>
      </c>
      <c r="L120">
        <v>2001</v>
      </c>
      <c r="M120">
        <v>2004</v>
      </c>
      <c r="N120">
        <v>45</v>
      </c>
      <c r="O120">
        <v>49</v>
      </c>
      <c r="R120" t="s">
        <v>232</v>
      </c>
      <c r="S120">
        <v>0.108011326990578</v>
      </c>
      <c r="T120">
        <v>9.0266453775468519E-2</v>
      </c>
      <c r="U120">
        <v>0.12575620020568751</v>
      </c>
      <c r="V120">
        <v>9.0536731057707098E-3</v>
      </c>
      <c r="W120">
        <v>176.59851962959499</v>
      </c>
      <c r="X120">
        <v>1635</v>
      </c>
      <c r="Y120" t="s">
        <v>236</v>
      </c>
      <c r="Z120">
        <v>1</v>
      </c>
      <c r="AA120">
        <v>0</v>
      </c>
      <c r="AB120">
        <v>0</v>
      </c>
      <c r="AC120">
        <v>95</v>
      </c>
      <c r="AD120" t="s">
        <v>238</v>
      </c>
      <c r="AE120" t="s">
        <v>240</v>
      </c>
      <c r="AF120" t="s">
        <v>243</v>
      </c>
      <c r="AH120" t="s">
        <v>247</v>
      </c>
      <c r="AI120" t="s">
        <v>262</v>
      </c>
      <c r="AJ120" t="s">
        <v>294</v>
      </c>
      <c r="AK120" t="s">
        <v>327</v>
      </c>
      <c r="AL120" t="s">
        <v>339</v>
      </c>
      <c r="AM120" t="s">
        <v>375</v>
      </c>
      <c r="AN120">
        <v>0</v>
      </c>
      <c r="AO120">
        <v>0</v>
      </c>
      <c r="AP120">
        <v>0</v>
      </c>
      <c r="AQ120">
        <v>0</v>
      </c>
      <c r="AR120">
        <v>0</v>
      </c>
      <c r="AS120">
        <v>0</v>
      </c>
      <c r="AT120">
        <v>0</v>
      </c>
      <c r="AU120">
        <v>0</v>
      </c>
      <c r="AV120">
        <v>0</v>
      </c>
      <c r="AW120">
        <v>0</v>
      </c>
      <c r="AX120">
        <v>0</v>
      </c>
      <c r="AY120">
        <v>0</v>
      </c>
      <c r="AZ120">
        <v>1</v>
      </c>
      <c r="BA120">
        <v>0</v>
      </c>
      <c r="BB120">
        <v>0</v>
      </c>
      <c r="BC120">
        <v>0</v>
      </c>
    </row>
    <row r="121" spans="1:55" x14ac:dyDescent="0.3">
      <c r="A121">
        <v>38</v>
      </c>
      <c r="B121" t="s">
        <v>78</v>
      </c>
      <c r="D121" t="s">
        <v>134</v>
      </c>
      <c r="E121" t="s">
        <v>138</v>
      </c>
      <c r="F121" t="s">
        <v>142</v>
      </c>
      <c r="G121">
        <v>102</v>
      </c>
      <c r="H121">
        <v>0</v>
      </c>
      <c r="I121" t="s">
        <v>208</v>
      </c>
      <c r="J121" t="s">
        <v>230</v>
      </c>
      <c r="L121">
        <v>2001</v>
      </c>
      <c r="M121">
        <v>2004</v>
      </c>
      <c r="N121">
        <v>50</v>
      </c>
      <c r="O121">
        <v>54</v>
      </c>
      <c r="R121" t="s">
        <v>232</v>
      </c>
      <c r="S121">
        <v>0.105152364788498</v>
      </c>
      <c r="T121">
        <v>8.6007170127445826E-2</v>
      </c>
      <c r="U121">
        <v>0.1242975594495502</v>
      </c>
      <c r="V121">
        <v>9.7681359515108604E-3</v>
      </c>
      <c r="W121">
        <v>158.67491846584349</v>
      </c>
      <c r="X121">
        <v>1509</v>
      </c>
      <c r="Y121" t="s">
        <v>236</v>
      </c>
      <c r="Z121">
        <v>1</v>
      </c>
      <c r="AA121">
        <v>0</v>
      </c>
      <c r="AB121">
        <v>0</v>
      </c>
      <c r="AC121">
        <v>95</v>
      </c>
      <c r="AD121" t="s">
        <v>238</v>
      </c>
      <c r="AE121" t="s">
        <v>240</v>
      </c>
      <c r="AF121" t="s">
        <v>243</v>
      </c>
      <c r="AH121" t="s">
        <v>247</v>
      </c>
      <c r="AI121" t="s">
        <v>262</v>
      </c>
      <c r="AJ121" t="s">
        <v>294</v>
      </c>
      <c r="AK121" t="s">
        <v>327</v>
      </c>
      <c r="AL121" t="s">
        <v>339</v>
      </c>
      <c r="AM121" t="s">
        <v>375</v>
      </c>
      <c r="AN121">
        <v>0</v>
      </c>
      <c r="AO121">
        <v>0</v>
      </c>
      <c r="AP121">
        <v>0</v>
      </c>
      <c r="AQ121">
        <v>0</v>
      </c>
      <c r="AR121">
        <v>0</v>
      </c>
      <c r="AS121">
        <v>0</v>
      </c>
      <c r="AT121">
        <v>0</v>
      </c>
      <c r="AU121">
        <v>0</v>
      </c>
      <c r="AV121">
        <v>0</v>
      </c>
      <c r="AW121">
        <v>0</v>
      </c>
      <c r="AX121">
        <v>0</v>
      </c>
      <c r="AY121">
        <v>0</v>
      </c>
      <c r="AZ121">
        <v>1</v>
      </c>
      <c r="BA121">
        <v>0</v>
      </c>
      <c r="BB121">
        <v>0</v>
      </c>
      <c r="BC121">
        <v>0</v>
      </c>
    </row>
    <row r="122" spans="1:55" x14ac:dyDescent="0.3">
      <c r="A122">
        <v>38</v>
      </c>
      <c r="B122" t="s">
        <v>78</v>
      </c>
      <c r="D122" t="s">
        <v>134</v>
      </c>
      <c r="E122" t="s">
        <v>138</v>
      </c>
      <c r="F122" t="s">
        <v>142</v>
      </c>
      <c r="G122">
        <v>102</v>
      </c>
      <c r="H122">
        <v>0</v>
      </c>
      <c r="I122" t="s">
        <v>208</v>
      </c>
      <c r="J122" t="s">
        <v>230</v>
      </c>
      <c r="L122">
        <v>2001</v>
      </c>
      <c r="M122">
        <v>2004</v>
      </c>
      <c r="N122">
        <v>55</v>
      </c>
      <c r="O122">
        <v>59</v>
      </c>
      <c r="R122" t="s">
        <v>232</v>
      </c>
      <c r="S122">
        <v>8.9865924250583998E-2</v>
      </c>
      <c r="T122">
        <v>6.8852184133661717E-2</v>
      </c>
      <c r="U122">
        <v>0.11087966436750631</v>
      </c>
      <c r="V122">
        <v>1.0721492987971201E-2</v>
      </c>
      <c r="W122">
        <v>107.1201817066961</v>
      </c>
      <c r="X122">
        <v>1192</v>
      </c>
      <c r="Y122" t="s">
        <v>236</v>
      </c>
      <c r="Z122">
        <v>1</v>
      </c>
      <c r="AA122">
        <v>0</v>
      </c>
      <c r="AB122">
        <v>0</v>
      </c>
      <c r="AC122">
        <v>95</v>
      </c>
      <c r="AD122" t="s">
        <v>238</v>
      </c>
      <c r="AE122" t="s">
        <v>240</v>
      </c>
      <c r="AF122" t="s">
        <v>243</v>
      </c>
      <c r="AH122" t="s">
        <v>247</v>
      </c>
      <c r="AI122" t="s">
        <v>262</v>
      </c>
      <c r="AJ122" t="s">
        <v>294</v>
      </c>
      <c r="AK122" t="s">
        <v>327</v>
      </c>
      <c r="AL122" t="s">
        <v>339</v>
      </c>
      <c r="AM122" t="s">
        <v>375</v>
      </c>
      <c r="AN122">
        <v>0</v>
      </c>
      <c r="AO122">
        <v>0</v>
      </c>
      <c r="AP122">
        <v>0</v>
      </c>
      <c r="AQ122">
        <v>0</v>
      </c>
      <c r="AR122">
        <v>0</v>
      </c>
      <c r="AS122">
        <v>0</v>
      </c>
      <c r="AT122">
        <v>0</v>
      </c>
      <c r="AU122">
        <v>0</v>
      </c>
      <c r="AV122">
        <v>0</v>
      </c>
      <c r="AW122">
        <v>0</v>
      </c>
      <c r="AX122">
        <v>0</v>
      </c>
      <c r="AY122">
        <v>0</v>
      </c>
      <c r="AZ122">
        <v>1</v>
      </c>
      <c r="BA122">
        <v>0</v>
      </c>
      <c r="BB122">
        <v>0</v>
      </c>
      <c r="BC122">
        <v>0</v>
      </c>
    </row>
    <row r="123" spans="1:55" x14ac:dyDescent="0.3">
      <c r="A123">
        <v>38</v>
      </c>
      <c r="B123" t="s">
        <v>78</v>
      </c>
      <c r="D123" t="s">
        <v>134</v>
      </c>
      <c r="E123" t="s">
        <v>138</v>
      </c>
      <c r="F123" t="s">
        <v>142</v>
      </c>
      <c r="G123">
        <v>102</v>
      </c>
      <c r="H123">
        <v>0</v>
      </c>
      <c r="I123" t="s">
        <v>208</v>
      </c>
      <c r="J123" t="s">
        <v>230</v>
      </c>
      <c r="L123">
        <v>2001</v>
      </c>
      <c r="M123">
        <v>2004</v>
      </c>
      <c r="N123">
        <v>60</v>
      </c>
      <c r="O123">
        <v>64</v>
      </c>
      <c r="R123" t="s">
        <v>232</v>
      </c>
      <c r="S123">
        <v>7.6509904457905606E-2</v>
      </c>
      <c r="T123">
        <v>5.6792640964735103E-2</v>
      </c>
      <c r="U123">
        <v>9.6227167951076109E-2</v>
      </c>
      <c r="V123">
        <v>1.00600131679448E-2</v>
      </c>
      <c r="W123">
        <v>76.20386484007399</v>
      </c>
      <c r="X123">
        <v>996</v>
      </c>
      <c r="Y123" t="s">
        <v>236</v>
      </c>
      <c r="Z123">
        <v>1</v>
      </c>
      <c r="AA123">
        <v>0</v>
      </c>
      <c r="AB123">
        <v>0</v>
      </c>
      <c r="AC123">
        <v>95</v>
      </c>
      <c r="AD123" t="s">
        <v>238</v>
      </c>
      <c r="AE123" t="s">
        <v>240</v>
      </c>
      <c r="AF123" t="s">
        <v>243</v>
      </c>
      <c r="AH123" t="s">
        <v>247</v>
      </c>
      <c r="AI123" t="s">
        <v>262</v>
      </c>
      <c r="AJ123" t="s">
        <v>294</v>
      </c>
      <c r="AK123" t="s">
        <v>327</v>
      </c>
      <c r="AL123" t="s">
        <v>339</v>
      </c>
      <c r="AM123" t="s">
        <v>375</v>
      </c>
      <c r="AN123">
        <v>0</v>
      </c>
      <c r="AO123">
        <v>0</v>
      </c>
      <c r="AP123">
        <v>0</v>
      </c>
      <c r="AQ123">
        <v>0</v>
      </c>
      <c r="AR123">
        <v>0</v>
      </c>
      <c r="AS123">
        <v>0</v>
      </c>
      <c r="AT123">
        <v>0</v>
      </c>
      <c r="AU123">
        <v>0</v>
      </c>
      <c r="AV123">
        <v>0</v>
      </c>
      <c r="AW123">
        <v>0</v>
      </c>
      <c r="AX123">
        <v>0</v>
      </c>
      <c r="AY123">
        <v>0</v>
      </c>
      <c r="AZ123">
        <v>1</v>
      </c>
      <c r="BA123">
        <v>0</v>
      </c>
      <c r="BB123">
        <v>0</v>
      </c>
      <c r="BC123">
        <v>0</v>
      </c>
    </row>
    <row r="124" spans="1:55" x14ac:dyDescent="0.3">
      <c r="A124">
        <v>38</v>
      </c>
      <c r="B124" t="s">
        <v>78</v>
      </c>
      <c r="D124" t="s">
        <v>134</v>
      </c>
      <c r="E124" t="s">
        <v>138</v>
      </c>
      <c r="F124" t="s">
        <v>142</v>
      </c>
      <c r="G124">
        <v>102</v>
      </c>
      <c r="H124">
        <v>0</v>
      </c>
      <c r="I124" t="s">
        <v>208</v>
      </c>
      <c r="J124" t="s">
        <v>230</v>
      </c>
      <c r="L124">
        <v>2001</v>
      </c>
      <c r="M124">
        <v>2004</v>
      </c>
      <c r="N124">
        <v>65</v>
      </c>
      <c r="O124">
        <v>69</v>
      </c>
      <c r="R124" t="s">
        <v>232</v>
      </c>
      <c r="S124">
        <v>5.4232706729062101E-2</v>
      </c>
      <c r="T124">
        <v>3.7298962323166061E-2</v>
      </c>
      <c r="U124">
        <v>7.1166451134958147E-2</v>
      </c>
      <c r="V124">
        <v>8.6398242720107394E-3</v>
      </c>
      <c r="W124">
        <v>44.199655984185611</v>
      </c>
      <c r="X124">
        <v>815</v>
      </c>
      <c r="Y124" t="s">
        <v>236</v>
      </c>
      <c r="Z124">
        <v>1</v>
      </c>
      <c r="AA124">
        <v>0</v>
      </c>
      <c r="AB124">
        <v>0</v>
      </c>
      <c r="AC124">
        <v>95</v>
      </c>
      <c r="AD124" t="s">
        <v>238</v>
      </c>
      <c r="AE124" t="s">
        <v>240</v>
      </c>
      <c r="AF124" t="s">
        <v>243</v>
      </c>
      <c r="AH124" t="s">
        <v>247</v>
      </c>
      <c r="AI124" t="s">
        <v>262</v>
      </c>
      <c r="AJ124" t="s">
        <v>294</v>
      </c>
      <c r="AK124" t="s">
        <v>327</v>
      </c>
      <c r="AL124" t="s">
        <v>339</v>
      </c>
      <c r="AM124" t="s">
        <v>375</v>
      </c>
      <c r="AN124">
        <v>0</v>
      </c>
      <c r="AO124">
        <v>0</v>
      </c>
      <c r="AP124">
        <v>0</v>
      </c>
      <c r="AQ124">
        <v>0</v>
      </c>
      <c r="AR124">
        <v>0</v>
      </c>
      <c r="AS124">
        <v>0</v>
      </c>
      <c r="AT124">
        <v>0</v>
      </c>
      <c r="AU124">
        <v>0</v>
      </c>
      <c r="AV124">
        <v>0</v>
      </c>
      <c r="AW124">
        <v>0</v>
      </c>
      <c r="AX124">
        <v>0</v>
      </c>
      <c r="AY124">
        <v>0</v>
      </c>
      <c r="AZ124">
        <v>1</v>
      </c>
      <c r="BA124">
        <v>0</v>
      </c>
      <c r="BB124">
        <v>0</v>
      </c>
      <c r="BC124">
        <v>0</v>
      </c>
    </row>
    <row r="125" spans="1:55" x14ac:dyDescent="0.3">
      <c r="A125">
        <v>38</v>
      </c>
      <c r="B125" t="s">
        <v>78</v>
      </c>
      <c r="D125" t="s">
        <v>134</v>
      </c>
      <c r="E125" t="s">
        <v>138</v>
      </c>
      <c r="F125" t="s">
        <v>142</v>
      </c>
      <c r="G125">
        <v>102</v>
      </c>
      <c r="H125">
        <v>0</v>
      </c>
      <c r="I125" t="s">
        <v>208</v>
      </c>
      <c r="J125" t="s">
        <v>230</v>
      </c>
      <c r="L125">
        <v>2001</v>
      </c>
      <c r="M125">
        <v>2004</v>
      </c>
      <c r="N125">
        <v>70</v>
      </c>
      <c r="O125">
        <v>74</v>
      </c>
      <c r="R125" t="s">
        <v>232</v>
      </c>
      <c r="S125">
        <v>5.59493484430931E-2</v>
      </c>
      <c r="T125">
        <v>3.4026650801293558E-2</v>
      </c>
      <c r="U125">
        <v>7.7872046084892635E-2</v>
      </c>
      <c r="V125">
        <v>1.1185255348936499E-2</v>
      </c>
      <c r="W125">
        <v>38.660999774177327</v>
      </c>
      <c r="X125">
        <v>691</v>
      </c>
      <c r="Y125" t="s">
        <v>236</v>
      </c>
      <c r="Z125">
        <v>1</v>
      </c>
      <c r="AA125">
        <v>0</v>
      </c>
      <c r="AB125">
        <v>0</v>
      </c>
      <c r="AC125">
        <v>95</v>
      </c>
      <c r="AD125" t="s">
        <v>238</v>
      </c>
      <c r="AE125" t="s">
        <v>240</v>
      </c>
      <c r="AF125" t="s">
        <v>243</v>
      </c>
      <c r="AH125" t="s">
        <v>247</v>
      </c>
      <c r="AI125" t="s">
        <v>262</v>
      </c>
      <c r="AJ125" t="s">
        <v>294</v>
      </c>
      <c r="AK125" t="s">
        <v>327</v>
      </c>
      <c r="AL125" t="s">
        <v>339</v>
      </c>
      <c r="AM125" t="s">
        <v>375</v>
      </c>
      <c r="AN125">
        <v>0</v>
      </c>
      <c r="AO125">
        <v>0</v>
      </c>
      <c r="AP125">
        <v>0</v>
      </c>
      <c r="AQ125">
        <v>0</v>
      </c>
      <c r="AR125">
        <v>0</v>
      </c>
      <c r="AS125">
        <v>0</v>
      </c>
      <c r="AT125">
        <v>0</v>
      </c>
      <c r="AU125">
        <v>0</v>
      </c>
      <c r="AV125">
        <v>0</v>
      </c>
      <c r="AW125">
        <v>0</v>
      </c>
      <c r="AX125">
        <v>0</v>
      </c>
      <c r="AY125">
        <v>0</v>
      </c>
      <c r="AZ125">
        <v>1</v>
      </c>
      <c r="BA125">
        <v>0</v>
      </c>
      <c r="BB125">
        <v>0</v>
      </c>
      <c r="BC125">
        <v>0</v>
      </c>
    </row>
    <row r="126" spans="1:55" x14ac:dyDescent="0.3">
      <c r="A126">
        <v>38</v>
      </c>
      <c r="B126" t="s">
        <v>78</v>
      </c>
      <c r="D126" t="s">
        <v>134</v>
      </c>
      <c r="E126" t="s">
        <v>138</v>
      </c>
      <c r="F126" t="s">
        <v>142</v>
      </c>
      <c r="G126">
        <v>102</v>
      </c>
      <c r="H126">
        <v>0</v>
      </c>
      <c r="I126" t="s">
        <v>208</v>
      </c>
      <c r="J126" t="s">
        <v>230</v>
      </c>
      <c r="L126">
        <v>2001</v>
      </c>
      <c r="M126">
        <v>2004</v>
      </c>
      <c r="N126">
        <v>75</v>
      </c>
      <c r="O126">
        <v>79</v>
      </c>
      <c r="R126" t="s">
        <v>232</v>
      </c>
      <c r="S126">
        <v>3.4212694590334901E-2</v>
      </c>
      <c r="T126">
        <v>1.8873441849716691E-2</v>
      </c>
      <c r="U126">
        <v>4.9551947330953111E-2</v>
      </c>
      <c r="V126">
        <v>7.8262931674317904E-3</v>
      </c>
      <c r="W126">
        <v>19.877575556984581</v>
      </c>
      <c r="X126">
        <v>581</v>
      </c>
      <c r="Y126" t="s">
        <v>236</v>
      </c>
      <c r="Z126">
        <v>1</v>
      </c>
      <c r="AA126">
        <v>0</v>
      </c>
      <c r="AB126">
        <v>0</v>
      </c>
      <c r="AC126">
        <v>95</v>
      </c>
      <c r="AD126" t="s">
        <v>238</v>
      </c>
      <c r="AE126" t="s">
        <v>240</v>
      </c>
      <c r="AF126" t="s">
        <v>243</v>
      </c>
      <c r="AH126" t="s">
        <v>247</v>
      </c>
      <c r="AI126" t="s">
        <v>262</v>
      </c>
      <c r="AJ126" t="s">
        <v>294</v>
      </c>
      <c r="AK126" t="s">
        <v>327</v>
      </c>
      <c r="AL126" t="s">
        <v>339</v>
      </c>
      <c r="AM126" t="s">
        <v>375</v>
      </c>
      <c r="AN126">
        <v>0</v>
      </c>
      <c r="AO126">
        <v>0</v>
      </c>
      <c r="AP126">
        <v>0</v>
      </c>
      <c r="AQ126">
        <v>0</v>
      </c>
      <c r="AR126">
        <v>0</v>
      </c>
      <c r="AS126">
        <v>0</v>
      </c>
      <c r="AT126">
        <v>0</v>
      </c>
      <c r="AU126">
        <v>0</v>
      </c>
      <c r="AV126">
        <v>0</v>
      </c>
      <c r="AW126">
        <v>0</v>
      </c>
      <c r="AX126">
        <v>0</v>
      </c>
      <c r="AY126">
        <v>0</v>
      </c>
      <c r="AZ126">
        <v>1</v>
      </c>
      <c r="BA126">
        <v>0</v>
      </c>
      <c r="BB126">
        <v>0</v>
      </c>
      <c r="BC126">
        <v>0</v>
      </c>
    </row>
    <row r="127" spans="1:55" x14ac:dyDescent="0.3">
      <c r="A127">
        <v>38</v>
      </c>
      <c r="B127" t="s">
        <v>78</v>
      </c>
      <c r="D127" t="s">
        <v>134</v>
      </c>
      <c r="E127" t="s">
        <v>138</v>
      </c>
      <c r="F127" t="s">
        <v>142</v>
      </c>
      <c r="G127">
        <v>102</v>
      </c>
      <c r="H127">
        <v>0</v>
      </c>
      <c r="I127" t="s">
        <v>208</v>
      </c>
      <c r="J127" t="s">
        <v>230</v>
      </c>
      <c r="L127">
        <v>2001</v>
      </c>
      <c r="M127">
        <v>2004</v>
      </c>
      <c r="N127">
        <v>80</v>
      </c>
      <c r="O127">
        <v>84</v>
      </c>
      <c r="R127" t="s">
        <v>232</v>
      </c>
      <c r="S127">
        <v>2.5948996232608199E-2</v>
      </c>
      <c r="T127">
        <v>9.5694184433769598E-3</v>
      </c>
      <c r="U127">
        <v>4.2328574021839441E-2</v>
      </c>
      <c r="V127">
        <v>8.3570810068099508E-3</v>
      </c>
      <c r="W127">
        <v>10.535292470438931</v>
      </c>
      <c r="X127">
        <v>406</v>
      </c>
      <c r="Y127" t="s">
        <v>236</v>
      </c>
      <c r="Z127">
        <v>1</v>
      </c>
      <c r="AA127">
        <v>0</v>
      </c>
      <c r="AB127">
        <v>0</v>
      </c>
      <c r="AC127">
        <v>95</v>
      </c>
      <c r="AD127" t="s">
        <v>238</v>
      </c>
      <c r="AE127" t="s">
        <v>240</v>
      </c>
      <c r="AF127" t="s">
        <v>243</v>
      </c>
      <c r="AH127" t="s">
        <v>247</v>
      </c>
      <c r="AI127" t="s">
        <v>262</v>
      </c>
      <c r="AJ127" t="s">
        <v>294</v>
      </c>
      <c r="AK127" t="s">
        <v>327</v>
      </c>
      <c r="AL127" t="s">
        <v>339</v>
      </c>
      <c r="AM127" t="s">
        <v>375</v>
      </c>
      <c r="AN127">
        <v>0</v>
      </c>
      <c r="AO127">
        <v>0</v>
      </c>
      <c r="AP127">
        <v>0</v>
      </c>
      <c r="AQ127">
        <v>0</v>
      </c>
      <c r="AR127">
        <v>0</v>
      </c>
      <c r="AS127">
        <v>0</v>
      </c>
      <c r="AT127">
        <v>0</v>
      </c>
      <c r="AU127">
        <v>0</v>
      </c>
      <c r="AV127">
        <v>0</v>
      </c>
      <c r="AW127">
        <v>0</v>
      </c>
      <c r="AX127">
        <v>0</v>
      </c>
      <c r="AY127">
        <v>0</v>
      </c>
      <c r="AZ127">
        <v>1</v>
      </c>
      <c r="BA127">
        <v>0</v>
      </c>
      <c r="BB127">
        <v>0</v>
      </c>
      <c r="BC127">
        <v>0</v>
      </c>
    </row>
    <row r="128" spans="1:55" x14ac:dyDescent="0.3">
      <c r="A128">
        <v>38</v>
      </c>
      <c r="B128" t="s">
        <v>78</v>
      </c>
      <c r="D128" t="s">
        <v>134</v>
      </c>
      <c r="E128" t="s">
        <v>138</v>
      </c>
      <c r="F128" t="s">
        <v>142</v>
      </c>
      <c r="G128">
        <v>102</v>
      </c>
      <c r="H128">
        <v>0</v>
      </c>
      <c r="I128" t="s">
        <v>208</v>
      </c>
      <c r="J128" t="s">
        <v>231</v>
      </c>
      <c r="L128">
        <v>2001</v>
      </c>
      <c r="M128">
        <v>2004</v>
      </c>
      <c r="N128">
        <v>85</v>
      </c>
      <c r="O128">
        <v>90</v>
      </c>
      <c r="R128" t="s">
        <v>232</v>
      </c>
      <c r="S128">
        <v>1.21362709677403E-2</v>
      </c>
      <c r="T128">
        <v>3.933732925625804E-3</v>
      </c>
      <c r="U128">
        <v>2.03388090098548E-2</v>
      </c>
      <c r="V128">
        <v>4.1850452900232199E-3</v>
      </c>
      <c r="W128">
        <v>7.4395341032248039</v>
      </c>
      <c r="X128">
        <v>613</v>
      </c>
      <c r="Y128" t="s">
        <v>236</v>
      </c>
      <c r="Z128">
        <v>1</v>
      </c>
      <c r="AA128">
        <v>0</v>
      </c>
      <c r="AB128">
        <v>0</v>
      </c>
      <c r="AC128">
        <v>95</v>
      </c>
      <c r="AD128" t="s">
        <v>238</v>
      </c>
      <c r="AE128" t="s">
        <v>240</v>
      </c>
      <c r="AF128" t="s">
        <v>243</v>
      </c>
      <c r="AH128" t="s">
        <v>247</v>
      </c>
      <c r="AI128" t="s">
        <v>262</v>
      </c>
      <c r="AJ128" t="s">
        <v>294</v>
      </c>
      <c r="AK128" t="s">
        <v>327</v>
      </c>
      <c r="AL128" t="s">
        <v>339</v>
      </c>
      <c r="AM128" t="s">
        <v>375</v>
      </c>
      <c r="AN128">
        <v>0</v>
      </c>
      <c r="AO128">
        <v>0</v>
      </c>
      <c r="AP128">
        <v>0</v>
      </c>
      <c r="AQ128">
        <v>0</v>
      </c>
      <c r="AR128">
        <v>0</v>
      </c>
      <c r="AS128">
        <v>0</v>
      </c>
      <c r="AT128">
        <v>0</v>
      </c>
      <c r="AU128">
        <v>0</v>
      </c>
      <c r="AV128">
        <v>0</v>
      </c>
      <c r="AW128">
        <v>0</v>
      </c>
      <c r="AX128">
        <v>0</v>
      </c>
      <c r="AY128">
        <v>0</v>
      </c>
      <c r="AZ128">
        <v>1</v>
      </c>
      <c r="BA128">
        <v>0</v>
      </c>
      <c r="BB128">
        <v>0</v>
      </c>
      <c r="BC128">
        <v>0</v>
      </c>
    </row>
    <row r="129" spans="1:55" x14ac:dyDescent="0.3">
      <c r="A129">
        <v>38</v>
      </c>
      <c r="B129" t="s">
        <v>78</v>
      </c>
      <c r="D129" t="s">
        <v>134</v>
      </c>
      <c r="E129" t="s">
        <v>138</v>
      </c>
      <c r="F129" t="s">
        <v>142</v>
      </c>
      <c r="G129">
        <v>102</v>
      </c>
      <c r="H129">
        <v>0</v>
      </c>
      <c r="I129" t="s">
        <v>208</v>
      </c>
      <c r="J129" t="s">
        <v>230</v>
      </c>
      <c r="L129">
        <v>2001</v>
      </c>
      <c r="M129">
        <v>2004</v>
      </c>
      <c r="N129">
        <v>85</v>
      </c>
      <c r="O129">
        <v>90</v>
      </c>
      <c r="R129" t="s">
        <v>232</v>
      </c>
      <c r="S129">
        <v>1.3731888616502199E-2</v>
      </c>
      <c r="T129">
        <v>2.0442148414219381E-3</v>
      </c>
      <c r="U129">
        <v>2.5419562391582461E-2</v>
      </c>
      <c r="V129">
        <v>5.9632084401913203E-3</v>
      </c>
      <c r="W129">
        <v>3.5290953744410651</v>
      </c>
      <c r="X129">
        <v>257</v>
      </c>
      <c r="Y129" t="s">
        <v>236</v>
      </c>
      <c r="Z129">
        <v>1</v>
      </c>
      <c r="AA129">
        <v>0</v>
      </c>
      <c r="AB129">
        <v>0</v>
      </c>
      <c r="AC129">
        <v>95</v>
      </c>
      <c r="AD129" t="s">
        <v>238</v>
      </c>
      <c r="AE129" t="s">
        <v>240</v>
      </c>
      <c r="AF129" t="s">
        <v>243</v>
      </c>
      <c r="AH129" t="s">
        <v>247</v>
      </c>
      <c r="AI129" t="s">
        <v>262</v>
      </c>
      <c r="AJ129" t="s">
        <v>294</v>
      </c>
      <c r="AK129" t="s">
        <v>327</v>
      </c>
      <c r="AL129" t="s">
        <v>339</v>
      </c>
      <c r="AM129" t="s">
        <v>375</v>
      </c>
      <c r="AN129">
        <v>0</v>
      </c>
      <c r="AO129">
        <v>0</v>
      </c>
      <c r="AP129">
        <v>0</v>
      </c>
      <c r="AQ129">
        <v>0</v>
      </c>
      <c r="AR129">
        <v>0</v>
      </c>
      <c r="AS129">
        <v>0</v>
      </c>
      <c r="AT129">
        <v>0</v>
      </c>
      <c r="AU129">
        <v>0</v>
      </c>
      <c r="AV129">
        <v>0</v>
      </c>
      <c r="AW129">
        <v>0</v>
      </c>
      <c r="AX129">
        <v>0</v>
      </c>
      <c r="AY129">
        <v>0</v>
      </c>
      <c r="AZ129">
        <v>1</v>
      </c>
      <c r="BA129">
        <v>0</v>
      </c>
      <c r="BB129">
        <v>0</v>
      </c>
      <c r="BC129">
        <v>0</v>
      </c>
    </row>
    <row r="130" spans="1:55" x14ac:dyDescent="0.3">
      <c r="A130">
        <v>39</v>
      </c>
      <c r="B130" t="s">
        <v>59</v>
      </c>
      <c r="C130" t="s">
        <v>111</v>
      </c>
      <c r="D130" t="s">
        <v>130</v>
      </c>
      <c r="E130" t="s">
        <v>138</v>
      </c>
      <c r="F130" t="s">
        <v>158</v>
      </c>
      <c r="G130">
        <v>72</v>
      </c>
      <c r="H130">
        <v>1</v>
      </c>
      <c r="I130" t="s">
        <v>192</v>
      </c>
      <c r="J130" t="s">
        <v>229</v>
      </c>
      <c r="L130">
        <v>1993</v>
      </c>
      <c r="M130">
        <v>1994</v>
      </c>
      <c r="N130">
        <v>21</v>
      </c>
      <c r="O130">
        <v>21</v>
      </c>
      <c r="R130" t="s">
        <v>232</v>
      </c>
      <c r="S130">
        <v>1.45806451612903E-2</v>
      </c>
      <c r="T130">
        <v>8.7068582721389429E-3</v>
      </c>
      <c r="U130">
        <v>2.4319768568339679E-2</v>
      </c>
      <c r="V130">
        <v>3.9988797691431956E-3</v>
      </c>
      <c r="W130">
        <v>14.012</v>
      </c>
      <c r="X130">
        <v>961</v>
      </c>
      <c r="Y130" t="s">
        <v>236</v>
      </c>
      <c r="Z130">
        <v>1</v>
      </c>
      <c r="AA130">
        <v>0</v>
      </c>
      <c r="AB130">
        <v>0</v>
      </c>
      <c r="AC130">
        <v>95</v>
      </c>
      <c r="AD130" t="s">
        <v>239</v>
      </c>
      <c r="AE130" t="s">
        <v>241</v>
      </c>
      <c r="AF130" t="s">
        <v>243</v>
      </c>
      <c r="AH130" t="s">
        <v>268</v>
      </c>
      <c r="AI130" t="s">
        <v>258</v>
      </c>
      <c r="AJ130" t="s">
        <v>302</v>
      </c>
      <c r="AK130" t="s">
        <v>323</v>
      </c>
      <c r="AL130" t="s">
        <v>348</v>
      </c>
      <c r="AM130" t="s">
        <v>378</v>
      </c>
      <c r="AN130">
        <v>0</v>
      </c>
      <c r="AO130">
        <v>1</v>
      </c>
      <c r="AP130">
        <v>1</v>
      </c>
      <c r="AQ130">
        <v>0</v>
      </c>
      <c r="AR130">
        <v>0</v>
      </c>
      <c r="AS130">
        <v>0</v>
      </c>
      <c r="AT130">
        <v>0</v>
      </c>
      <c r="AU130">
        <v>0</v>
      </c>
      <c r="AV130">
        <v>0</v>
      </c>
      <c r="AW130">
        <v>0</v>
      </c>
      <c r="AX130">
        <v>1</v>
      </c>
      <c r="AY130">
        <v>0</v>
      </c>
      <c r="AZ130">
        <v>0</v>
      </c>
      <c r="BA130">
        <v>0</v>
      </c>
      <c r="BB130">
        <v>0</v>
      </c>
      <c r="BC130">
        <v>0</v>
      </c>
    </row>
    <row r="131" spans="1:55" x14ac:dyDescent="0.3">
      <c r="A131">
        <v>40</v>
      </c>
      <c r="B131" t="s">
        <v>85</v>
      </c>
      <c r="C131" t="s">
        <v>103</v>
      </c>
      <c r="D131" t="s">
        <v>130</v>
      </c>
      <c r="E131" t="s">
        <v>140</v>
      </c>
      <c r="F131" t="s">
        <v>169</v>
      </c>
      <c r="G131">
        <v>78</v>
      </c>
      <c r="H131">
        <v>0</v>
      </c>
      <c r="I131" t="s">
        <v>181</v>
      </c>
      <c r="J131" t="s">
        <v>230</v>
      </c>
      <c r="L131">
        <v>2000</v>
      </c>
      <c r="M131">
        <v>2006</v>
      </c>
      <c r="N131">
        <v>0</v>
      </c>
      <c r="O131">
        <v>99</v>
      </c>
      <c r="R131" t="s">
        <v>233</v>
      </c>
      <c r="S131">
        <v>3.7</v>
      </c>
      <c r="T131">
        <v>3.6163651848722029</v>
      </c>
      <c r="U131">
        <v>3.783634815127797</v>
      </c>
      <c r="V131">
        <v>4.2671608145607588E-2</v>
      </c>
      <c r="W131">
        <v>123</v>
      </c>
      <c r="X131">
        <v>2032</v>
      </c>
      <c r="Y131" t="s">
        <v>236</v>
      </c>
      <c r="Z131">
        <v>1</v>
      </c>
      <c r="AA131">
        <v>0</v>
      </c>
      <c r="AB131">
        <v>0</v>
      </c>
      <c r="AC131">
        <v>95</v>
      </c>
      <c r="AD131" t="s">
        <v>238</v>
      </c>
      <c r="AE131" t="s">
        <v>240</v>
      </c>
      <c r="AF131" t="s">
        <v>246</v>
      </c>
      <c r="AH131" t="s">
        <v>278</v>
      </c>
      <c r="AI131" t="s">
        <v>262</v>
      </c>
      <c r="AJ131" t="s">
        <v>310</v>
      </c>
      <c r="AK131" t="s">
        <v>329</v>
      </c>
      <c r="AL131" t="s">
        <v>363</v>
      </c>
      <c r="AM131" t="s">
        <v>333</v>
      </c>
      <c r="AN131">
        <v>1</v>
      </c>
      <c r="AO131">
        <v>0</v>
      </c>
      <c r="AP131">
        <v>0</v>
      </c>
      <c r="AQ131">
        <v>0</v>
      </c>
      <c r="AR131">
        <v>1</v>
      </c>
      <c r="AS131">
        <v>0</v>
      </c>
      <c r="AT131">
        <v>0</v>
      </c>
      <c r="AU131">
        <v>1</v>
      </c>
      <c r="AV131">
        <v>0</v>
      </c>
      <c r="AW131">
        <v>0</v>
      </c>
      <c r="AX131">
        <v>0</v>
      </c>
      <c r="AY131">
        <v>0</v>
      </c>
      <c r="AZ131">
        <v>0</v>
      </c>
      <c r="BA131">
        <v>0</v>
      </c>
      <c r="BB131">
        <v>0</v>
      </c>
      <c r="BC131">
        <v>0</v>
      </c>
    </row>
    <row r="132" spans="1:55" x14ac:dyDescent="0.3">
      <c r="A132">
        <v>40</v>
      </c>
      <c r="B132" t="s">
        <v>85</v>
      </c>
      <c r="C132" t="s">
        <v>103</v>
      </c>
      <c r="D132" t="s">
        <v>130</v>
      </c>
      <c r="E132" t="s">
        <v>140</v>
      </c>
      <c r="F132" t="s">
        <v>151</v>
      </c>
      <c r="G132">
        <v>79</v>
      </c>
      <c r="H132">
        <v>0</v>
      </c>
      <c r="I132" t="s">
        <v>181</v>
      </c>
      <c r="J132" t="s">
        <v>230</v>
      </c>
      <c r="L132">
        <v>2000</v>
      </c>
      <c r="M132">
        <v>2006</v>
      </c>
      <c r="N132">
        <v>0</v>
      </c>
      <c r="O132">
        <v>99</v>
      </c>
      <c r="R132" t="s">
        <v>233</v>
      </c>
      <c r="S132">
        <v>3.4</v>
      </c>
      <c r="T132">
        <v>3.3034808379754712</v>
      </c>
      <c r="U132">
        <v>3.4965191620245291</v>
      </c>
      <c r="V132">
        <v>4.9245375316005723E-2</v>
      </c>
      <c r="W132">
        <v>99</v>
      </c>
      <c r="X132">
        <v>1402</v>
      </c>
      <c r="Y132" t="s">
        <v>236</v>
      </c>
      <c r="Z132">
        <v>1</v>
      </c>
      <c r="AA132">
        <v>0</v>
      </c>
      <c r="AB132">
        <v>0</v>
      </c>
      <c r="AC132">
        <v>95</v>
      </c>
      <c r="AD132" t="s">
        <v>238</v>
      </c>
      <c r="AE132" t="s">
        <v>240</v>
      </c>
      <c r="AF132" t="s">
        <v>246</v>
      </c>
      <c r="AH132" t="s">
        <v>278</v>
      </c>
      <c r="AI132" t="s">
        <v>262</v>
      </c>
      <c r="AJ132" t="s">
        <v>310</v>
      </c>
      <c r="AK132" t="s">
        <v>329</v>
      </c>
      <c r="AL132" t="s">
        <v>363</v>
      </c>
      <c r="AM132" t="s">
        <v>333</v>
      </c>
      <c r="AN132">
        <v>1</v>
      </c>
      <c r="AO132">
        <v>0</v>
      </c>
      <c r="AP132">
        <v>0</v>
      </c>
      <c r="AQ132">
        <v>0</v>
      </c>
      <c r="AR132">
        <v>1</v>
      </c>
      <c r="AS132">
        <v>0</v>
      </c>
      <c r="AT132">
        <v>0</v>
      </c>
      <c r="AU132">
        <v>1</v>
      </c>
      <c r="AV132">
        <v>0</v>
      </c>
      <c r="AW132">
        <v>0</v>
      </c>
      <c r="AX132">
        <v>0</v>
      </c>
      <c r="AY132">
        <v>0</v>
      </c>
      <c r="AZ132">
        <v>0</v>
      </c>
      <c r="BA132">
        <v>0</v>
      </c>
      <c r="BB132">
        <v>0</v>
      </c>
      <c r="BC132">
        <v>0</v>
      </c>
    </row>
    <row r="133" spans="1:55" x14ac:dyDescent="0.3">
      <c r="A133">
        <v>40</v>
      </c>
      <c r="B133" t="s">
        <v>85</v>
      </c>
      <c r="C133" t="s">
        <v>103</v>
      </c>
      <c r="D133" t="s">
        <v>130</v>
      </c>
      <c r="E133" t="s">
        <v>140</v>
      </c>
      <c r="F133" t="s">
        <v>161</v>
      </c>
      <c r="G133">
        <v>93</v>
      </c>
      <c r="H133">
        <v>0</v>
      </c>
      <c r="I133" t="s">
        <v>181</v>
      </c>
      <c r="J133" t="s">
        <v>230</v>
      </c>
      <c r="L133">
        <v>2000</v>
      </c>
      <c r="M133">
        <v>2006</v>
      </c>
      <c r="N133">
        <v>0</v>
      </c>
      <c r="O133">
        <v>99</v>
      </c>
      <c r="R133" t="s">
        <v>233</v>
      </c>
      <c r="S133">
        <v>3.8</v>
      </c>
      <c r="T133">
        <v>3.7059984818053229</v>
      </c>
      <c r="U133">
        <v>3.8940015181946772</v>
      </c>
      <c r="V133">
        <v>4.7960839554271828E-2</v>
      </c>
      <c r="W133">
        <v>106</v>
      </c>
      <c r="X133">
        <v>1652</v>
      </c>
      <c r="Y133" t="s">
        <v>236</v>
      </c>
      <c r="Z133">
        <v>1</v>
      </c>
      <c r="AA133">
        <v>0</v>
      </c>
      <c r="AB133">
        <v>0</v>
      </c>
      <c r="AC133">
        <v>95</v>
      </c>
      <c r="AD133" t="s">
        <v>238</v>
      </c>
      <c r="AE133" t="s">
        <v>240</v>
      </c>
      <c r="AF133" t="s">
        <v>246</v>
      </c>
      <c r="AH133" t="s">
        <v>278</v>
      </c>
      <c r="AI133" t="s">
        <v>262</v>
      </c>
      <c r="AJ133" t="s">
        <v>310</v>
      </c>
      <c r="AK133" t="s">
        <v>329</v>
      </c>
      <c r="AL133" t="s">
        <v>363</v>
      </c>
      <c r="AM133" t="s">
        <v>333</v>
      </c>
      <c r="AN133">
        <v>1</v>
      </c>
      <c r="AO133">
        <v>0</v>
      </c>
      <c r="AP133">
        <v>0</v>
      </c>
      <c r="AQ133">
        <v>0</v>
      </c>
      <c r="AR133">
        <v>1</v>
      </c>
      <c r="AS133">
        <v>0</v>
      </c>
      <c r="AT133">
        <v>0</v>
      </c>
      <c r="AU133">
        <v>1</v>
      </c>
      <c r="AV133">
        <v>0</v>
      </c>
      <c r="AW133">
        <v>0</v>
      </c>
      <c r="AX133">
        <v>0</v>
      </c>
      <c r="AY133">
        <v>0</v>
      </c>
      <c r="AZ133">
        <v>0</v>
      </c>
      <c r="BA133">
        <v>0</v>
      </c>
      <c r="BB133">
        <v>0</v>
      </c>
      <c r="BC133">
        <v>0</v>
      </c>
    </row>
    <row r="134" spans="1:55" x14ac:dyDescent="0.3">
      <c r="A134">
        <v>40</v>
      </c>
      <c r="B134" t="s">
        <v>85</v>
      </c>
      <c r="C134" t="s">
        <v>129</v>
      </c>
      <c r="D134" t="s">
        <v>126</v>
      </c>
      <c r="E134" t="s">
        <v>140</v>
      </c>
      <c r="F134" t="s">
        <v>169</v>
      </c>
      <c r="G134">
        <v>78</v>
      </c>
      <c r="H134">
        <v>0</v>
      </c>
      <c r="I134" t="s">
        <v>181</v>
      </c>
      <c r="J134" t="s">
        <v>231</v>
      </c>
      <c r="L134">
        <v>2000</v>
      </c>
      <c r="M134">
        <v>2006</v>
      </c>
      <c r="N134">
        <v>0</v>
      </c>
      <c r="O134">
        <v>99</v>
      </c>
      <c r="R134" t="s">
        <v>233</v>
      </c>
      <c r="S134">
        <v>3</v>
      </c>
      <c r="T134">
        <v>2.9438018800812582</v>
      </c>
      <c r="U134">
        <v>3.0561981199187418</v>
      </c>
      <c r="V134">
        <v>2.8673037036407618E-2</v>
      </c>
      <c r="W134">
        <v>109</v>
      </c>
      <c r="X134">
        <v>3649</v>
      </c>
      <c r="Y134" t="s">
        <v>236</v>
      </c>
      <c r="Z134">
        <v>1</v>
      </c>
      <c r="AA134">
        <v>0</v>
      </c>
      <c r="AB134">
        <v>0</v>
      </c>
      <c r="AC134">
        <v>95</v>
      </c>
      <c r="AD134" t="s">
        <v>238</v>
      </c>
      <c r="AE134" t="s">
        <v>240</v>
      </c>
      <c r="AF134" t="s">
        <v>246</v>
      </c>
      <c r="AH134" t="s">
        <v>278</v>
      </c>
      <c r="AI134" t="s">
        <v>262</v>
      </c>
      <c r="AJ134" t="s">
        <v>310</v>
      </c>
      <c r="AK134" t="s">
        <v>329</v>
      </c>
      <c r="AL134" t="s">
        <v>363</v>
      </c>
      <c r="AM134" t="s">
        <v>333</v>
      </c>
      <c r="AN134">
        <v>1</v>
      </c>
      <c r="AO134">
        <v>0</v>
      </c>
      <c r="AP134">
        <v>0</v>
      </c>
      <c r="AQ134">
        <v>0</v>
      </c>
      <c r="AR134">
        <v>1</v>
      </c>
      <c r="AS134">
        <v>0</v>
      </c>
      <c r="AT134">
        <v>0</v>
      </c>
      <c r="AU134">
        <v>1</v>
      </c>
      <c r="AV134">
        <v>0</v>
      </c>
      <c r="AW134">
        <v>0</v>
      </c>
      <c r="AX134">
        <v>0</v>
      </c>
      <c r="AY134">
        <v>0</v>
      </c>
      <c r="AZ134">
        <v>0</v>
      </c>
      <c r="BA134">
        <v>0</v>
      </c>
      <c r="BB134">
        <v>0</v>
      </c>
      <c r="BC134">
        <v>0</v>
      </c>
    </row>
    <row r="135" spans="1:55" x14ac:dyDescent="0.3">
      <c r="A135">
        <v>40</v>
      </c>
      <c r="B135" t="s">
        <v>85</v>
      </c>
      <c r="C135" t="s">
        <v>129</v>
      </c>
      <c r="D135" t="s">
        <v>126</v>
      </c>
      <c r="E135" t="s">
        <v>140</v>
      </c>
      <c r="F135" t="s">
        <v>151</v>
      </c>
      <c r="G135">
        <v>79</v>
      </c>
      <c r="H135">
        <v>0</v>
      </c>
      <c r="I135" t="s">
        <v>181</v>
      </c>
      <c r="J135" t="s">
        <v>231</v>
      </c>
      <c r="L135">
        <v>2000</v>
      </c>
      <c r="M135">
        <v>2006</v>
      </c>
      <c r="N135">
        <v>0</v>
      </c>
      <c r="O135">
        <v>99</v>
      </c>
      <c r="R135" t="s">
        <v>233</v>
      </c>
      <c r="S135">
        <v>3.4</v>
      </c>
      <c r="T135">
        <v>3.3022887653692261</v>
      </c>
      <c r="U135">
        <v>3.4977112346307742</v>
      </c>
      <c r="V135">
        <v>4.9853586801343233E-2</v>
      </c>
      <c r="W135">
        <v>78</v>
      </c>
      <c r="X135">
        <v>1368</v>
      </c>
      <c r="Y135" t="s">
        <v>236</v>
      </c>
      <c r="Z135">
        <v>1</v>
      </c>
      <c r="AA135">
        <v>0</v>
      </c>
      <c r="AB135">
        <v>0</v>
      </c>
      <c r="AC135">
        <v>95</v>
      </c>
      <c r="AD135" t="s">
        <v>238</v>
      </c>
      <c r="AE135" t="s">
        <v>240</v>
      </c>
      <c r="AF135" t="s">
        <v>246</v>
      </c>
      <c r="AH135" t="s">
        <v>278</v>
      </c>
      <c r="AI135" t="s">
        <v>262</v>
      </c>
      <c r="AJ135" t="s">
        <v>310</v>
      </c>
      <c r="AK135" t="s">
        <v>329</v>
      </c>
      <c r="AL135" t="s">
        <v>363</v>
      </c>
      <c r="AM135" t="s">
        <v>333</v>
      </c>
      <c r="AN135">
        <v>1</v>
      </c>
      <c r="AO135">
        <v>0</v>
      </c>
      <c r="AP135">
        <v>0</v>
      </c>
      <c r="AQ135">
        <v>0</v>
      </c>
      <c r="AR135">
        <v>1</v>
      </c>
      <c r="AS135">
        <v>0</v>
      </c>
      <c r="AT135">
        <v>0</v>
      </c>
      <c r="AU135">
        <v>1</v>
      </c>
      <c r="AV135">
        <v>0</v>
      </c>
      <c r="AW135">
        <v>0</v>
      </c>
      <c r="AX135">
        <v>0</v>
      </c>
      <c r="AY135">
        <v>0</v>
      </c>
      <c r="AZ135">
        <v>0</v>
      </c>
      <c r="BA135">
        <v>0</v>
      </c>
      <c r="BB135">
        <v>0</v>
      </c>
      <c r="BC135">
        <v>0</v>
      </c>
    </row>
    <row r="136" spans="1:55" x14ac:dyDescent="0.3">
      <c r="A136">
        <v>40</v>
      </c>
      <c r="B136" t="s">
        <v>85</v>
      </c>
      <c r="C136" t="s">
        <v>129</v>
      </c>
      <c r="D136" t="s">
        <v>126</v>
      </c>
      <c r="E136" t="s">
        <v>140</v>
      </c>
      <c r="F136" t="s">
        <v>161</v>
      </c>
      <c r="G136">
        <v>93</v>
      </c>
      <c r="H136">
        <v>0</v>
      </c>
      <c r="I136" t="s">
        <v>181</v>
      </c>
      <c r="J136" t="s">
        <v>231</v>
      </c>
      <c r="L136">
        <v>2000</v>
      </c>
      <c r="M136">
        <v>2006</v>
      </c>
      <c r="N136">
        <v>0</v>
      </c>
      <c r="O136">
        <v>99</v>
      </c>
      <c r="R136" t="s">
        <v>233</v>
      </c>
      <c r="S136">
        <v>3.2</v>
      </c>
      <c r="T136">
        <v>3.136763016012317</v>
      </c>
      <c r="U136">
        <v>3.2632369839876838</v>
      </c>
      <c r="V136">
        <v>3.2264360205845062E-2</v>
      </c>
      <c r="W136">
        <v>117</v>
      </c>
      <c r="X136">
        <v>3074</v>
      </c>
      <c r="Y136" t="s">
        <v>236</v>
      </c>
      <c r="Z136">
        <v>1</v>
      </c>
      <c r="AA136">
        <v>0</v>
      </c>
      <c r="AB136">
        <v>0</v>
      </c>
      <c r="AC136">
        <v>95</v>
      </c>
      <c r="AD136" t="s">
        <v>238</v>
      </c>
      <c r="AE136" t="s">
        <v>240</v>
      </c>
      <c r="AF136" t="s">
        <v>246</v>
      </c>
      <c r="AH136" t="s">
        <v>278</v>
      </c>
      <c r="AI136" t="s">
        <v>262</v>
      </c>
      <c r="AJ136" t="s">
        <v>310</v>
      </c>
      <c r="AK136" t="s">
        <v>329</v>
      </c>
      <c r="AL136" t="s">
        <v>363</v>
      </c>
      <c r="AM136" t="s">
        <v>333</v>
      </c>
      <c r="AN136">
        <v>1</v>
      </c>
      <c r="AO136">
        <v>0</v>
      </c>
      <c r="AP136">
        <v>0</v>
      </c>
      <c r="AQ136">
        <v>0</v>
      </c>
      <c r="AR136">
        <v>1</v>
      </c>
      <c r="AS136">
        <v>0</v>
      </c>
      <c r="AT136">
        <v>0</v>
      </c>
      <c r="AU136">
        <v>1</v>
      </c>
      <c r="AV136">
        <v>0</v>
      </c>
      <c r="AW136">
        <v>0</v>
      </c>
      <c r="AX136">
        <v>0</v>
      </c>
      <c r="AY136">
        <v>0</v>
      </c>
      <c r="AZ136">
        <v>0</v>
      </c>
      <c r="BA136">
        <v>0</v>
      </c>
      <c r="BB136">
        <v>0</v>
      </c>
      <c r="BC136">
        <v>0</v>
      </c>
    </row>
    <row r="137" spans="1:55" x14ac:dyDescent="0.3">
      <c r="A137">
        <v>41</v>
      </c>
      <c r="B137" t="s">
        <v>75</v>
      </c>
      <c r="C137" t="s">
        <v>128</v>
      </c>
      <c r="D137" t="s">
        <v>130</v>
      </c>
      <c r="E137" t="s">
        <v>137</v>
      </c>
      <c r="F137" t="s">
        <v>158</v>
      </c>
      <c r="G137">
        <v>72</v>
      </c>
      <c r="H137">
        <v>1</v>
      </c>
      <c r="I137" t="s">
        <v>206</v>
      </c>
      <c r="J137" t="s">
        <v>229</v>
      </c>
      <c r="K137">
        <f>994/1498</f>
        <v>0.66355140186915884</v>
      </c>
      <c r="L137">
        <v>1986</v>
      </c>
      <c r="M137">
        <v>1986</v>
      </c>
      <c r="N137">
        <v>18</v>
      </c>
      <c r="O137">
        <v>24</v>
      </c>
      <c r="R137" t="s">
        <v>232</v>
      </c>
      <c r="S137">
        <v>2.1999999999999999E-2</v>
      </c>
      <c r="T137">
        <v>0</v>
      </c>
      <c r="U137">
        <v>4.7479531799020702E-2</v>
      </c>
      <c r="V137">
        <v>1.2999999999999999E-2</v>
      </c>
      <c r="W137">
        <v>5.6759999999999993</v>
      </c>
      <c r="X137">
        <v>258</v>
      </c>
      <c r="Y137" t="s">
        <v>236</v>
      </c>
      <c r="Z137">
        <v>1</v>
      </c>
      <c r="AA137">
        <v>0</v>
      </c>
      <c r="AB137">
        <v>0</v>
      </c>
      <c r="AC137">
        <v>95</v>
      </c>
      <c r="AD137" t="s">
        <v>239</v>
      </c>
      <c r="AE137" t="s">
        <v>241</v>
      </c>
      <c r="AF137" t="s">
        <v>243</v>
      </c>
      <c r="AH137" t="s">
        <v>251</v>
      </c>
      <c r="AI137" t="s">
        <v>258</v>
      </c>
      <c r="AJ137" t="s">
        <v>301</v>
      </c>
      <c r="AK137" t="s">
        <v>324</v>
      </c>
      <c r="AL137" t="s">
        <v>338</v>
      </c>
      <c r="AM137" t="s">
        <v>375</v>
      </c>
      <c r="AN137">
        <v>0</v>
      </c>
      <c r="AO137">
        <v>1</v>
      </c>
      <c r="AP137">
        <v>1</v>
      </c>
      <c r="AQ137">
        <v>0</v>
      </c>
      <c r="AR137">
        <v>0</v>
      </c>
      <c r="AS137">
        <v>0</v>
      </c>
      <c r="AT137">
        <v>0</v>
      </c>
      <c r="AU137">
        <v>0</v>
      </c>
      <c r="AV137">
        <v>0</v>
      </c>
      <c r="AW137">
        <v>0</v>
      </c>
      <c r="AX137">
        <v>1</v>
      </c>
      <c r="AY137">
        <v>0</v>
      </c>
      <c r="AZ137">
        <v>0</v>
      </c>
      <c r="BA137">
        <v>0</v>
      </c>
      <c r="BB137">
        <v>0</v>
      </c>
      <c r="BC137">
        <v>0</v>
      </c>
    </row>
    <row r="138" spans="1:55" x14ac:dyDescent="0.3">
      <c r="A138">
        <v>41</v>
      </c>
      <c r="B138" t="s">
        <v>75</v>
      </c>
      <c r="C138" t="s">
        <v>128</v>
      </c>
      <c r="D138" t="s">
        <v>130</v>
      </c>
      <c r="E138" t="s">
        <v>137</v>
      </c>
      <c r="F138" t="s">
        <v>158</v>
      </c>
      <c r="G138">
        <v>72</v>
      </c>
      <c r="H138">
        <v>1</v>
      </c>
      <c r="I138" t="s">
        <v>206</v>
      </c>
      <c r="J138" t="s">
        <v>229</v>
      </c>
      <c r="K138">
        <f>994/1498</f>
        <v>0.66355140186915884</v>
      </c>
      <c r="L138">
        <v>1986</v>
      </c>
      <c r="M138">
        <v>1986</v>
      </c>
      <c r="N138">
        <v>25</v>
      </c>
      <c r="O138">
        <v>44</v>
      </c>
      <c r="R138" t="s">
        <v>232</v>
      </c>
      <c r="S138">
        <v>0.01</v>
      </c>
      <c r="T138">
        <v>2.0018007729973031E-4</v>
      </c>
      <c r="U138">
        <v>1.979981992270027E-2</v>
      </c>
      <c r="V138">
        <v>5.0000000000000001E-3</v>
      </c>
      <c r="W138">
        <v>8.5500000000000007</v>
      </c>
      <c r="X138">
        <v>855</v>
      </c>
      <c r="Y138" t="s">
        <v>236</v>
      </c>
      <c r="Z138">
        <v>1</v>
      </c>
      <c r="AA138">
        <v>0</v>
      </c>
      <c r="AB138">
        <v>0</v>
      </c>
      <c r="AC138">
        <v>95</v>
      </c>
      <c r="AD138" t="s">
        <v>239</v>
      </c>
      <c r="AE138" t="s">
        <v>241</v>
      </c>
      <c r="AF138" t="s">
        <v>243</v>
      </c>
      <c r="AH138" t="s">
        <v>251</v>
      </c>
      <c r="AI138" t="s">
        <v>258</v>
      </c>
      <c r="AJ138" t="s">
        <v>301</v>
      </c>
      <c r="AK138" t="s">
        <v>324</v>
      </c>
      <c r="AL138" t="s">
        <v>338</v>
      </c>
      <c r="AM138" t="s">
        <v>375</v>
      </c>
      <c r="AN138">
        <v>0</v>
      </c>
      <c r="AO138">
        <v>1</v>
      </c>
      <c r="AP138">
        <v>1</v>
      </c>
      <c r="AQ138">
        <v>0</v>
      </c>
      <c r="AR138">
        <v>0</v>
      </c>
      <c r="AS138">
        <v>0</v>
      </c>
      <c r="AT138">
        <v>0</v>
      </c>
      <c r="AU138">
        <v>0</v>
      </c>
      <c r="AV138">
        <v>0</v>
      </c>
      <c r="AW138">
        <v>0</v>
      </c>
      <c r="AX138">
        <v>1</v>
      </c>
      <c r="AY138">
        <v>0</v>
      </c>
      <c r="AZ138">
        <v>0</v>
      </c>
      <c r="BA138">
        <v>0</v>
      </c>
      <c r="BB138">
        <v>0</v>
      </c>
      <c r="BC138">
        <v>0</v>
      </c>
    </row>
    <row r="139" spans="1:55" x14ac:dyDescent="0.3">
      <c r="A139">
        <v>41</v>
      </c>
      <c r="B139" t="s">
        <v>75</v>
      </c>
      <c r="C139" t="s">
        <v>128</v>
      </c>
      <c r="D139" t="s">
        <v>130</v>
      </c>
      <c r="E139" t="s">
        <v>137</v>
      </c>
      <c r="F139" t="s">
        <v>158</v>
      </c>
      <c r="G139">
        <v>72</v>
      </c>
      <c r="H139">
        <v>1</v>
      </c>
      <c r="I139" t="s">
        <v>206</v>
      </c>
      <c r="J139" t="s">
        <v>229</v>
      </c>
      <c r="K139">
        <f>994/1498</f>
        <v>0.66355140186915884</v>
      </c>
      <c r="L139">
        <v>1986</v>
      </c>
      <c r="M139">
        <v>1986</v>
      </c>
      <c r="N139">
        <v>45</v>
      </c>
      <c r="O139">
        <v>64</v>
      </c>
      <c r="R139" t="s">
        <v>232</v>
      </c>
      <c r="S139">
        <v>0</v>
      </c>
      <c r="T139">
        <v>0</v>
      </c>
      <c r="U139">
        <v>9.7998199227002699E-3</v>
      </c>
      <c r="V139">
        <v>5.0000000000000001E-3</v>
      </c>
      <c r="W139">
        <v>0</v>
      </c>
      <c r="X139">
        <v>385</v>
      </c>
      <c r="Y139" t="s">
        <v>236</v>
      </c>
      <c r="Z139">
        <v>1</v>
      </c>
      <c r="AA139">
        <v>0</v>
      </c>
      <c r="AB139">
        <v>0</v>
      </c>
      <c r="AC139">
        <v>95</v>
      </c>
      <c r="AD139" t="s">
        <v>239</v>
      </c>
      <c r="AE139" t="s">
        <v>241</v>
      </c>
      <c r="AF139" t="s">
        <v>243</v>
      </c>
      <c r="AH139" t="s">
        <v>251</v>
      </c>
      <c r="AI139" t="s">
        <v>258</v>
      </c>
      <c r="AJ139" t="s">
        <v>301</v>
      </c>
      <c r="AK139" t="s">
        <v>324</v>
      </c>
      <c r="AL139" t="s">
        <v>338</v>
      </c>
      <c r="AM139" t="s">
        <v>375</v>
      </c>
      <c r="AN139">
        <v>0</v>
      </c>
      <c r="AO139">
        <v>1</v>
      </c>
      <c r="AP139">
        <v>1</v>
      </c>
      <c r="AQ139">
        <v>0</v>
      </c>
      <c r="AR139">
        <v>0</v>
      </c>
      <c r="AS139">
        <v>0</v>
      </c>
      <c r="AT139">
        <v>0</v>
      </c>
      <c r="AU139">
        <v>0</v>
      </c>
      <c r="AV139">
        <v>0</v>
      </c>
      <c r="AW139">
        <v>0</v>
      </c>
      <c r="AX139">
        <v>1</v>
      </c>
      <c r="AY139">
        <v>0</v>
      </c>
      <c r="AZ139">
        <v>0</v>
      </c>
      <c r="BA139">
        <v>0</v>
      </c>
      <c r="BB139">
        <v>0</v>
      </c>
      <c r="BC139">
        <v>0</v>
      </c>
    </row>
    <row r="140" spans="1:55" x14ac:dyDescent="0.3">
      <c r="A140">
        <v>42</v>
      </c>
      <c r="B140" t="s">
        <v>73</v>
      </c>
      <c r="C140" t="s">
        <v>117</v>
      </c>
      <c r="D140" t="s">
        <v>133</v>
      </c>
      <c r="E140" t="s">
        <v>137</v>
      </c>
      <c r="F140" t="s">
        <v>155</v>
      </c>
      <c r="G140">
        <v>548</v>
      </c>
      <c r="H140">
        <v>1</v>
      </c>
      <c r="I140" t="s">
        <v>189</v>
      </c>
      <c r="J140" t="s">
        <v>229</v>
      </c>
      <c r="L140">
        <v>2010</v>
      </c>
      <c r="M140">
        <v>2013</v>
      </c>
      <c r="N140">
        <v>55</v>
      </c>
      <c r="O140">
        <v>64</v>
      </c>
      <c r="R140" t="s">
        <v>232</v>
      </c>
      <c r="S140">
        <v>0.1</v>
      </c>
      <c r="T140">
        <v>8.6363405935396445E-2</v>
      </c>
      <c r="U140">
        <v>0.1155175397585472</v>
      </c>
      <c r="V140">
        <v>7.4549436309283394E-3</v>
      </c>
      <c r="W140">
        <v>164</v>
      </c>
      <c r="X140">
        <v>1630</v>
      </c>
      <c r="Y140" t="s">
        <v>236</v>
      </c>
      <c r="Z140">
        <v>1</v>
      </c>
      <c r="AA140">
        <v>0</v>
      </c>
      <c r="AB140">
        <v>1</v>
      </c>
      <c r="AC140">
        <v>95</v>
      </c>
      <c r="AD140" t="s">
        <v>239</v>
      </c>
      <c r="AE140" t="s">
        <v>241</v>
      </c>
      <c r="AF140" t="s">
        <v>243</v>
      </c>
      <c r="AG140">
        <v>0.43</v>
      </c>
      <c r="AH140" t="s">
        <v>263</v>
      </c>
      <c r="AI140" t="s">
        <v>262</v>
      </c>
      <c r="AJ140" t="s">
        <v>299</v>
      </c>
      <c r="AK140" t="s">
        <v>323</v>
      </c>
      <c r="AL140" t="s">
        <v>343</v>
      </c>
      <c r="AM140" t="s">
        <v>386</v>
      </c>
      <c r="AN140">
        <v>0</v>
      </c>
      <c r="AO140">
        <v>0</v>
      </c>
      <c r="AP140">
        <v>0</v>
      </c>
      <c r="AQ140">
        <v>0</v>
      </c>
      <c r="AR140">
        <v>0</v>
      </c>
      <c r="AS140">
        <v>0</v>
      </c>
      <c r="AT140">
        <v>0</v>
      </c>
      <c r="AU140">
        <v>0</v>
      </c>
      <c r="AV140">
        <v>0</v>
      </c>
      <c r="AW140">
        <v>0</v>
      </c>
      <c r="AX140">
        <v>0</v>
      </c>
      <c r="AY140">
        <v>0</v>
      </c>
      <c r="AZ140">
        <v>0</v>
      </c>
      <c r="BA140">
        <v>0</v>
      </c>
      <c r="BB140">
        <v>0</v>
      </c>
      <c r="BC140">
        <v>1</v>
      </c>
    </row>
    <row r="141" spans="1:55" x14ac:dyDescent="0.3">
      <c r="A141">
        <v>42</v>
      </c>
      <c r="B141" t="s">
        <v>73</v>
      </c>
      <c r="C141" t="s">
        <v>126</v>
      </c>
      <c r="D141" t="s">
        <v>131</v>
      </c>
      <c r="E141" t="s">
        <v>137</v>
      </c>
      <c r="F141" t="s">
        <v>155</v>
      </c>
      <c r="G141">
        <v>548</v>
      </c>
      <c r="H141">
        <v>1</v>
      </c>
      <c r="I141" t="s">
        <v>189</v>
      </c>
      <c r="J141" t="s">
        <v>229</v>
      </c>
      <c r="L141">
        <v>2010</v>
      </c>
      <c r="M141">
        <v>2013</v>
      </c>
      <c r="N141">
        <v>55</v>
      </c>
      <c r="O141">
        <v>64</v>
      </c>
      <c r="R141" t="s">
        <v>232</v>
      </c>
      <c r="S141">
        <v>6.0000000000000001E-3</v>
      </c>
      <c r="T141">
        <v>3.2408341280817442E-3</v>
      </c>
      <c r="U141">
        <v>1.108213380393859E-2</v>
      </c>
      <c r="V141">
        <v>2.0050826216044312E-3</v>
      </c>
      <c r="W141">
        <v>9</v>
      </c>
      <c r="X141">
        <v>1630</v>
      </c>
      <c r="Y141" t="s">
        <v>236</v>
      </c>
      <c r="Z141">
        <v>1</v>
      </c>
      <c r="AA141">
        <v>0</v>
      </c>
      <c r="AB141">
        <v>0</v>
      </c>
      <c r="AC141">
        <v>95</v>
      </c>
      <c r="AD141" t="s">
        <v>239</v>
      </c>
      <c r="AE141" t="s">
        <v>241</v>
      </c>
      <c r="AF141" t="s">
        <v>243</v>
      </c>
      <c r="AG141">
        <v>0.43</v>
      </c>
      <c r="AH141" t="s">
        <v>264</v>
      </c>
      <c r="AI141" t="s">
        <v>258</v>
      </c>
      <c r="AJ141" t="s">
        <v>299</v>
      </c>
      <c r="AK141" t="s">
        <v>325</v>
      </c>
      <c r="AL141" t="s">
        <v>343</v>
      </c>
      <c r="AM141" t="s">
        <v>386</v>
      </c>
      <c r="AN141">
        <v>0</v>
      </c>
      <c r="AO141">
        <v>1</v>
      </c>
      <c r="AP141">
        <v>1</v>
      </c>
      <c r="AQ141">
        <v>0</v>
      </c>
      <c r="AR141">
        <v>0</v>
      </c>
      <c r="AS141">
        <v>0</v>
      </c>
      <c r="AT141">
        <v>0</v>
      </c>
      <c r="AU141">
        <v>0</v>
      </c>
      <c r="AV141">
        <v>0</v>
      </c>
      <c r="AW141">
        <v>0</v>
      </c>
      <c r="AX141">
        <v>0</v>
      </c>
      <c r="AY141">
        <v>0</v>
      </c>
      <c r="AZ141">
        <v>0</v>
      </c>
      <c r="BA141">
        <v>1</v>
      </c>
      <c r="BB141">
        <v>0</v>
      </c>
      <c r="BC141">
        <v>0</v>
      </c>
    </row>
    <row r="142" spans="1:55" x14ac:dyDescent="0.3">
      <c r="A142">
        <v>42</v>
      </c>
      <c r="B142" t="s">
        <v>73</v>
      </c>
      <c r="C142" t="s">
        <v>126</v>
      </c>
      <c r="D142" t="s">
        <v>131</v>
      </c>
      <c r="E142" t="s">
        <v>137</v>
      </c>
      <c r="F142" t="s">
        <v>155</v>
      </c>
      <c r="G142">
        <v>548</v>
      </c>
      <c r="H142">
        <v>1</v>
      </c>
      <c r="I142" t="s">
        <v>189</v>
      </c>
      <c r="J142" t="s">
        <v>229</v>
      </c>
      <c r="L142">
        <v>2010</v>
      </c>
      <c r="M142">
        <v>2013</v>
      </c>
      <c r="N142">
        <v>55</v>
      </c>
      <c r="O142">
        <v>64</v>
      </c>
      <c r="R142" t="s">
        <v>232</v>
      </c>
      <c r="S142">
        <v>4.0000000000000001E-3</v>
      </c>
      <c r="T142">
        <v>1.8909611299436121E-3</v>
      </c>
      <c r="U142">
        <v>8.4414115305464447E-3</v>
      </c>
      <c r="V142">
        <v>1.675002206888017E-3</v>
      </c>
      <c r="W142">
        <v>7</v>
      </c>
      <c r="X142">
        <v>1630</v>
      </c>
      <c r="Y142" t="s">
        <v>236</v>
      </c>
      <c r="Z142">
        <v>1</v>
      </c>
      <c r="AA142">
        <v>0</v>
      </c>
      <c r="AB142">
        <v>0</v>
      </c>
      <c r="AC142">
        <v>95</v>
      </c>
      <c r="AD142" t="s">
        <v>239</v>
      </c>
      <c r="AE142" t="s">
        <v>241</v>
      </c>
      <c r="AF142" t="s">
        <v>243</v>
      </c>
      <c r="AG142">
        <v>0.43</v>
      </c>
      <c r="AH142" t="s">
        <v>253</v>
      </c>
      <c r="AI142" t="s">
        <v>253</v>
      </c>
      <c r="AJ142" t="s">
        <v>299</v>
      </c>
      <c r="AK142" t="s">
        <v>325</v>
      </c>
      <c r="AL142" t="s">
        <v>343</v>
      </c>
      <c r="AM142" t="s">
        <v>386</v>
      </c>
      <c r="AN142">
        <v>0</v>
      </c>
      <c r="AO142">
        <v>1</v>
      </c>
      <c r="AP142">
        <v>0</v>
      </c>
      <c r="AQ142">
        <v>1</v>
      </c>
      <c r="AR142">
        <v>0</v>
      </c>
      <c r="AS142">
        <v>0</v>
      </c>
      <c r="AT142">
        <v>0</v>
      </c>
      <c r="AU142">
        <v>0</v>
      </c>
      <c r="AV142">
        <v>0</v>
      </c>
      <c r="AW142">
        <v>0</v>
      </c>
      <c r="AX142">
        <v>0</v>
      </c>
      <c r="AY142">
        <v>0</v>
      </c>
      <c r="AZ142">
        <v>0</v>
      </c>
      <c r="BA142">
        <v>0</v>
      </c>
      <c r="BB142">
        <v>1</v>
      </c>
      <c r="BC142">
        <v>0</v>
      </c>
    </row>
    <row r="143" spans="1:55" x14ac:dyDescent="0.3">
      <c r="A143">
        <v>43</v>
      </c>
      <c r="B143" t="s">
        <v>91</v>
      </c>
      <c r="C143" t="s">
        <v>103</v>
      </c>
      <c r="D143" t="s">
        <v>130</v>
      </c>
      <c r="E143" t="s">
        <v>140</v>
      </c>
      <c r="F143" t="s">
        <v>166</v>
      </c>
      <c r="G143">
        <v>68</v>
      </c>
      <c r="H143">
        <v>1</v>
      </c>
      <c r="I143" t="s">
        <v>205</v>
      </c>
      <c r="J143" t="s">
        <v>229</v>
      </c>
      <c r="K143">
        <f>35341/60335</f>
        <v>0.58574625010358827</v>
      </c>
      <c r="L143">
        <v>1995</v>
      </c>
      <c r="M143">
        <v>2009</v>
      </c>
      <c r="N143">
        <v>18</v>
      </c>
      <c r="O143">
        <v>99</v>
      </c>
      <c r="P143">
        <v>56.4</v>
      </c>
      <c r="R143" t="s">
        <v>233</v>
      </c>
      <c r="S143">
        <v>3.06</v>
      </c>
      <c r="T143">
        <v>2.38</v>
      </c>
      <c r="U143">
        <v>3.87</v>
      </c>
      <c r="V143">
        <v>0.40404186848278678</v>
      </c>
      <c r="W143">
        <v>69</v>
      </c>
      <c r="X143">
        <v>4988</v>
      </c>
      <c r="Y143" t="s">
        <v>237</v>
      </c>
      <c r="Z143">
        <v>1</v>
      </c>
      <c r="AA143">
        <v>0</v>
      </c>
      <c r="AB143">
        <v>0</v>
      </c>
      <c r="AC143">
        <v>95</v>
      </c>
      <c r="AD143" t="s">
        <v>239</v>
      </c>
      <c r="AE143" t="s">
        <v>241</v>
      </c>
      <c r="AF143" t="s">
        <v>246</v>
      </c>
      <c r="AH143" t="s">
        <v>282</v>
      </c>
      <c r="AI143" t="s">
        <v>262</v>
      </c>
      <c r="AJ143" t="s">
        <v>310</v>
      </c>
      <c r="AK143" t="s">
        <v>333</v>
      </c>
      <c r="AL143" t="s">
        <v>368</v>
      </c>
      <c r="AM143" t="s">
        <v>333</v>
      </c>
      <c r="AN143">
        <v>1</v>
      </c>
      <c r="AO143">
        <v>0</v>
      </c>
      <c r="AP143">
        <v>0</v>
      </c>
      <c r="AQ143">
        <v>0</v>
      </c>
      <c r="AR143">
        <v>1</v>
      </c>
      <c r="AS143">
        <v>0</v>
      </c>
      <c r="AT143">
        <v>0</v>
      </c>
      <c r="AU143">
        <v>1</v>
      </c>
      <c r="AV143">
        <v>0</v>
      </c>
      <c r="AW143">
        <v>0</v>
      </c>
      <c r="AX143">
        <v>0</v>
      </c>
      <c r="AY143">
        <v>0</v>
      </c>
      <c r="AZ143">
        <v>0</v>
      </c>
      <c r="BA143">
        <v>0</v>
      </c>
      <c r="BB143">
        <v>0</v>
      </c>
      <c r="BC143">
        <v>0</v>
      </c>
    </row>
    <row r="144" spans="1:55" x14ac:dyDescent="0.3">
      <c r="A144">
        <v>43</v>
      </c>
      <c r="B144" t="s">
        <v>91</v>
      </c>
      <c r="C144" t="s">
        <v>103</v>
      </c>
      <c r="D144" t="s">
        <v>130</v>
      </c>
      <c r="E144" t="s">
        <v>140</v>
      </c>
      <c r="F144" t="s">
        <v>166</v>
      </c>
      <c r="G144">
        <v>68</v>
      </c>
      <c r="H144">
        <v>1</v>
      </c>
      <c r="I144" t="s">
        <v>205</v>
      </c>
      <c r="J144" t="s">
        <v>229</v>
      </c>
      <c r="K144">
        <f>35341/60335</f>
        <v>0.58574625010358827</v>
      </c>
      <c r="L144">
        <v>1995</v>
      </c>
      <c r="M144">
        <v>2009</v>
      </c>
      <c r="N144">
        <v>18</v>
      </c>
      <c r="O144">
        <v>99</v>
      </c>
      <c r="P144">
        <v>56.4</v>
      </c>
      <c r="R144" t="s">
        <v>233</v>
      </c>
      <c r="S144">
        <v>2.3199999999999998</v>
      </c>
      <c r="T144">
        <v>1.1100000000000001</v>
      </c>
      <c r="U144">
        <v>4.26</v>
      </c>
      <c r="V144">
        <v>0.94958333966271502</v>
      </c>
      <c r="W144">
        <v>10</v>
      </c>
      <c r="X144">
        <v>2157</v>
      </c>
      <c r="Y144" t="s">
        <v>237</v>
      </c>
      <c r="Z144">
        <v>1</v>
      </c>
      <c r="AA144">
        <v>0</v>
      </c>
      <c r="AB144">
        <v>0</v>
      </c>
      <c r="AC144">
        <v>95</v>
      </c>
      <c r="AD144" t="s">
        <v>239</v>
      </c>
      <c r="AE144" t="s">
        <v>241</v>
      </c>
      <c r="AF144" t="s">
        <v>246</v>
      </c>
      <c r="AH144" t="s">
        <v>282</v>
      </c>
      <c r="AI144" t="s">
        <v>262</v>
      </c>
      <c r="AJ144" t="s">
        <v>310</v>
      </c>
      <c r="AK144" t="s">
        <v>334</v>
      </c>
      <c r="AL144" t="s">
        <v>368</v>
      </c>
      <c r="AM144" t="s">
        <v>334</v>
      </c>
      <c r="AN144">
        <v>1</v>
      </c>
      <c r="AO144">
        <v>0</v>
      </c>
      <c r="AP144">
        <v>0</v>
      </c>
      <c r="AQ144">
        <v>0</v>
      </c>
      <c r="AR144">
        <v>0</v>
      </c>
      <c r="AS144">
        <v>1</v>
      </c>
      <c r="AT144">
        <v>0</v>
      </c>
      <c r="AU144">
        <v>1</v>
      </c>
      <c r="AV144">
        <v>0</v>
      </c>
      <c r="AW144">
        <v>0</v>
      </c>
      <c r="AX144">
        <v>0</v>
      </c>
      <c r="AY144">
        <v>0</v>
      </c>
      <c r="AZ144">
        <v>0</v>
      </c>
      <c r="BA144">
        <v>0</v>
      </c>
      <c r="BB144">
        <v>0</v>
      </c>
      <c r="BC144">
        <v>0</v>
      </c>
    </row>
    <row r="145" spans="1:55" x14ac:dyDescent="0.3">
      <c r="A145">
        <v>44</v>
      </c>
      <c r="B145" t="s">
        <v>87</v>
      </c>
      <c r="C145" t="s">
        <v>132</v>
      </c>
      <c r="D145" t="s">
        <v>135</v>
      </c>
      <c r="E145" t="s">
        <v>140</v>
      </c>
      <c r="F145" t="s">
        <v>169</v>
      </c>
      <c r="G145">
        <v>78</v>
      </c>
      <c r="H145">
        <v>0</v>
      </c>
      <c r="I145" t="s">
        <v>181</v>
      </c>
      <c r="J145" t="s">
        <v>230</v>
      </c>
      <c r="L145">
        <v>1995</v>
      </c>
      <c r="M145">
        <v>2015</v>
      </c>
      <c r="N145">
        <v>20</v>
      </c>
      <c r="O145">
        <v>20</v>
      </c>
      <c r="R145" t="s">
        <v>234</v>
      </c>
      <c r="S145">
        <v>5.61</v>
      </c>
      <c r="T145">
        <v>4.45</v>
      </c>
      <c r="U145">
        <v>7.08</v>
      </c>
      <c r="V145">
        <v>0.70554833724198573</v>
      </c>
      <c r="Y145" t="s">
        <v>237</v>
      </c>
      <c r="Z145">
        <v>1</v>
      </c>
      <c r="AA145">
        <v>0</v>
      </c>
      <c r="AB145">
        <v>0</v>
      </c>
      <c r="AC145">
        <v>95</v>
      </c>
      <c r="AD145" t="s">
        <v>238</v>
      </c>
      <c r="AE145" t="s">
        <v>240</v>
      </c>
      <c r="AF145" t="s">
        <v>246</v>
      </c>
      <c r="AH145" t="s">
        <v>279</v>
      </c>
      <c r="AI145" t="s">
        <v>262</v>
      </c>
      <c r="AJ145" t="s">
        <v>314</v>
      </c>
      <c r="AK145" t="s">
        <v>327</v>
      </c>
      <c r="AL145" t="s">
        <v>364</v>
      </c>
      <c r="AM145" t="s">
        <v>387</v>
      </c>
      <c r="AN145">
        <v>1</v>
      </c>
      <c r="AO145">
        <v>0</v>
      </c>
      <c r="AP145">
        <v>0</v>
      </c>
      <c r="AQ145">
        <v>0</v>
      </c>
      <c r="AR145">
        <v>0</v>
      </c>
      <c r="AS145">
        <v>0</v>
      </c>
      <c r="AT145">
        <v>1</v>
      </c>
      <c r="AU145">
        <v>0</v>
      </c>
      <c r="AV145">
        <v>0</v>
      </c>
      <c r="AW145">
        <v>0</v>
      </c>
      <c r="AX145">
        <v>0</v>
      </c>
      <c r="AY145">
        <v>0</v>
      </c>
      <c r="AZ145">
        <v>0</v>
      </c>
      <c r="BA145">
        <v>0</v>
      </c>
      <c r="BB145">
        <v>0</v>
      </c>
      <c r="BC145">
        <v>0</v>
      </c>
    </row>
    <row r="146" spans="1:55" x14ac:dyDescent="0.3">
      <c r="A146">
        <v>44</v>
      </c>
      <c r="B146" t="s">
        <v>87</v>
      </c>
      <c r="C146" t="s">
        <v>132</v>
      </c>
      <c r="D146" t="s">
        <v>135</v>
      </c>
      <c r="E146" t="s">
        <v>140</v>
      </c>
      <c r="F146" t="s">
        <v>169</v>
      </c>
      <c r="G146">
        <v>78</v>
      </c>
      <c r="H146">
        <v>0</v>
      </c>
      <c r="I146" t="s">
        <v>181</v>
      </c>
      <c r="J146" t="s">
        <v>230</v>
      </c>
      <c r="L146">
        <v>1995</v>
      </c>
      <c r="M146">
        <v>2015</v>
      </c>
      <c r="N146">
        <v>40</v>
      </c>
      <c r="O146">
        <v>40</v>
      </c>
      <c r="R146" t="s">
        <v>234</v>
      </c>
      <c r="S146">
        <v>6.41</v>
      </c>
      <c r="T146">
        <v>6.12</v>
      </c>
      <c r="U146">
        <v>6.7</v>
      </c>
      <c r="V146">
        <v>0.14978625486044281</v>
      </c>
      <c r="Y146" t="s">
        <v>237</v>
      </c>
      <c r="Z146">
        <v>1</v>
      </c>
      <c r="AA146">
        <v>0</v>
      </c>
      <c r="AB146">
        <v>0</v>
      </c>
      <c r="AC146">
        <v>95</v>
      </c>
      <c r="AD146" t="s">
        <v>238</v>
      </c>
      <c r="AE146" t="s">
        <v>240</v>
      </c>
      <c r="AF146" t="s">
        <v>246</v>
      </c>
      <c r="AH146" t="s">
        <v>279</v>
      </c>
      <c r="AI146" t="s">
        <v>262</v>
      </c>
      <c r="AJ146" t="s">
        <v>314</v>
      </c>
      <c r="AK146" t="s">
        <v>327</v>
      </c>
      <c r="AL146" t="s">
        <v>364</v>
      </c>
      <c r="AM146" t="s">
        <v>387</v>
      </c>
      <c r="AN146">
        <v>1</v>
      </c>
      <c r="AO146">
        <v>0</v>
      </c>
      <c r="AP146">
        <v>0</v>
      </c>
      <c r="AQ146">
        <v>0</v>
      </c>
      <c r="AR146">
        <v>0</v>
      </c>
      <c r="AS146">
        <v>0</v>
      </c>
      <c r="AT146">
        <v>1</v>
      </c>
      <c r="AU146">
        <v>0</v>
      </c>
      <c r="AV146">
        <v>0</v>
      </c>
      <c r="AW146">
        <v>0</v>
      </c>
      <c r="AX146">
        <v>0</v>
      </c>
      <c r="AY146">
        <v>0</v>
      </c>
      <c r="AZ146">
        <v>0</v>
      </c>
      <c r="BA146">
        <v>0</v>
      </c>
      <c r="BB146">
        <v>0</v>
      </c>
      <c r="BC146">
        <v>0</v>
      </c>
    </row>
    <row r="147" spans="1:55" x14ac:dyDescent="0.3">
      <c r="A147">
        <v>44</v>
      </c>
      <c r="B147" t="s">
        <v>87</v>
      </c>
      <c r="C147" t="s">
        <v>132</v>
      </c>
      <c r="D147" t="s">
        <v>135</v>
      </c>
      <c r="E147" t="s">
        <v>140</v>
      </c>
      <c r="F147" t="s">
        <v>169</v>
      </c>
      <c r="G147">
        <v>78</v>
      </c>
      <c r="H147">
        <v>0</v>
      </c>
      <c r="I147" t="s">
        <v>181</v>
      </c>
      <c r="J147" t="s">
        <v>230</v>
      </c>
      <c r="L147">
        <v>1995</v>
      </c>
      <c r="M147">
        <v>2015</v>
      </c>
      <c r="N147">
        <v>60</v>
      </c>
      <c r="O147">
        <v>60</v>
      </c>
      <c r="R147" t="s">
        <v>234</v>
      </c>
      <c r="S147">
        <v>2.81</v>
      </c>
      <c r="T147">
        <v>2.74</v>
      </c>
      <c r="U147">
        <v>2.88</v>
      </c>
      <c r="V147">
        <v>3.5950359124395648E-2</v>
      </c>
      <c r="Y147" t="s">
        <v>237</v>
      </c>
      <c r="Z147">
        <v>1</v>
      </c>
      <c r="AA147">
        <v>0</v>
      </c>
      <c r="AB147">
        <v>0</v>
      </c>
      <c r="AC147">
        <v>95</v>
      </c>
      <c r="AD147" t="s">
        <v>238</v>
      </c>
      <c r="AE147" t="s">
        <v>240</v>
      </c>
      <c r="AF147" t="s">
        <v>246</v>
      </c>
      <c r="AH147" t="s">
        <v>279</v>
      </c>
      <c r="AI147" t="s">
        <v>262</v>
      </c>
      <c r="AJ147" t="s">
        <v>314</v>
      </c>
      <c r="AK147" t="s">
        <v>327</v>
      </c>
      <c r="AL147" t="s">
        <v>364</v>
      </c>
      <c r="AM147" t="s">
        <v>387</v>
      </c>
      <c r="AN147">
        <v>1</v>
      </c>
      <c r="AO147">
        <v>0</v>
      </c>
      <c r="AP147">
        <v>0</v>
      </c>
      <c r="AQ147">
        <v>0</v>
      </c>
      <c r="AR147">
        <v>0</v>
      </c>
      <c r="AS147">
        <v>0</v>
      </c>
      <c r="AT147">
        <v>1</v>
      </c>
      <c r="AU147">
        <v>0</v>
      </c>
      <c r="AV147">
        <v>0</v>
      </c>
      <c r="AW147">
        <v>0</v>
      </c>
      <c r="AX147">
        <v>0</v>
      </c>
      <c r="AY147">
        <v>0</v>
      </c>
      <c r="AZ147">
        <v>0</v>
      </c>
      <c r="BA147">
        <v>0</v>
      </c>
      <c r="BB147">
        <v>0</v>
      </c>
      <c r="BC147">
        <v>0</v>
      </c>
    </row>
    <row r="148" spans="1:55" x14ac:dyDescent="0.3">
      <c r="A148">
        <v>44</v>
      </c>
      <c r="B148" t="s">
        <v>87</v>
      </c>
      <c r="C148" t="s">
        <v>132</v>
      </c>
      <c r="D148" t="s">
        <v>135</v>
      </c>
      <c r="E148" t="s">
        <v>140</v>
      </c>
      <c r="F148" t="s">
        <v>169</v>
      </c>
      <c r="G148">
        <v>78</v>
      </c>
      <c r="H148">
        <v>0</v>
      </c>
      <c r="I148" t="s">
        <v>181</v>
      </c>
      <c r="J148" t="s">
        <v>230</v>
      </c>
      <c r="L148">
        <v>1995</v>
      </c>
      <c r="M148">
        <v>2015</v>
      </c>
      <c r="N148">
        <v>80</v>
      </c>
      <c r="O148">
        <v>80</v>
      </c>
      <c r="R148" t="s">
        <v>234</v>
      </c>
      <c r="S148">
        <v>1.55</v>
      </c>
      <c r="T148">
        <v>1.5</v>
      </c>
      <c r="U148">
        <v>1.6</v>
      </c>
      <c r="V148">
        <v>2.5730764160749941E-2</v>
      </c>
      <c r="Y148" t="s">
        <v>237</v>
      </c>
      <c r="Z148">
        <v>1</v>
      </c>
      <c r="AA148">
        <v>0</v>
      </c>
      <c r="AB148">
        <v>0</v>
      </c>
      <c r="AC148">
        <v>95</v>
      </c>
      <c r="AD148" t="s">
        <v>238</v>
      </c>
      <c r="AE148" t="s">
        <v>240</v>
      </c>
      <c r="AF148" t="s">
        <v>246</v>
      </c>
      <c r="AH148" t="s">
        <v>279</v>
      </c>
      <c r="AI148" t="s">
        <v>262</v>
      </c>
      <c r="AJ148" t="s">
        <v>314</v>
      </c>
      <c r="AK148" t="s">
        <v>327</v>
      </c>
      <c r="AL148" t="s">
        <v>364</v>
      </c>
      <c r="AM148" t="s">
        <v>387</v>
      </c>
      <c r="AN148">
        <v>1</v>
      </c>
      <c r="AO148">
        <v>0</v>
      </c>
      <c r="AP148">
        <v>0</v>
      </c>
      <c r="AQ148">
        <v>0</v>
      </c>
      <c r="AR148">
        <v>0</v>
      </c>
      <c r="AS148">
        <v>0</v>
      </c>
      <c r="AT148">
        <v>1</v>
      </c>
      <c r="AU148">
        <v>0</v>
      </c>
      <c r="AV148">
        <v>0</v>
      </c>
      <c r="AW148">
        <v>0</v>
      </c>
      <c r="AX148">
        <v>0</v>
      </c>
      <c r="AY148">
        <v>0</v>
      </c>
      <c r="AZ148">
        <v>0</v>
      </c>
      <c r="BA148">
        <v>0</v>
      </c>
      <c r="BB148">
        <v>0</v>
      </c>
      <c r="BC148">
        <v>0</v>
      </c>
    </row>
    <row r="149" spans="1:55" x14ac:dyDescent="0.3">
      <c r="A149">
        <v>44</v>
      </c>
      <c r="B149" t="s">
        <v>87</v>
      </c>
      <c r="C149" t="s">
        <v>132</v>
      </c>
      <c r="D149" t="s">
        <v>135</v>
      </c>
      <c r="E149" t="s">
        <v>140</v>
      </c>
      <c r="F149" t="s">
        <v>169</v>
      </c>
      <c r="G149">
        <v>78</v>
      </c>
      <c r="H149">
        <v>0</v>
      </c>
      <c r="I149" t="s">
        <v>181</v>
      </c>
      <c r="J149" t="s">
        <v>231</v>
      </c>
      <c r="L149">
        <v>1995</v>
      </c>
      <c r="M149">
        <v>2015</v>
      </c>
      <c r="N149">
        <v>20</v>
      </c>
      <c r="O149">
        <v>20</v>
      </c>
      <c r="R149" t="s">
        <v>234</v>
      </c>
      <c r="S149">
        <v>6.72</v>
      </c>
      <c r="T149">
        <v>5.49</v>
      </c>
      <c r="U149">
        <v>8.2200000000000006</v>
      </c>
      <c r="V149">
        <v>0.72885204630537159</v>
      </c>
      <c r="Y149" t="s">
        <v>237</v>
      </c>
      <c r="Z149">
        <v>1</v>
      </c>
      <c r="AA149">
        <v>0</v>
      </c>
      <c r="AB149">
        <v>0</v>
      </c>
      <c r="AC149">
        <v>95</v>
      </c>
      <c r="AD149" t="s">
        <v>238</v>
      </c>
      <c r="AE149" t="s">
        <v>240</v>
      </c>
      <c r="AF149" t="s">
        <v>246</v>
      </c>
      <c r="AH149" t="s">
        <v>279</v>
      </c>
      <c r="AI149" t="s">
        <v>262</v>
      </c>
      <c r="AJ149" t="s">
        <v>314</v>
      </c>
      <c r="AK149" t="s">
        <v>327</v>
      </c>
      <c r="AL149" t="s">
        <v>364</v>
      </c>
      <c r="AM149" t="s">
        <v>387</v>
      </c>
      <c r="AN149">
        <v>1</v>
      </c>
      <c r="AO149">
        <v>0</v>
      </c>
      <c r="AP149">
        <v>0</v>
      </c>
      <c r="AQ149">
        <v>0</v>
      </c>
      <c r="AR149">
        <v>0</v>
      </c>
      <c r="AS149">
        <v>0</v>
      </c>
      <c r="AT149">
        <v>1</v>
      </c>
      <c r="AU149">
        <v>0</v>
      </c>
      <c r="AV149">
        <v>0</v>
      </c>
      <c r="AW149">
        <v>0</v>
      </c>
      <c r="AX149">
        <v>0</v>
      </c>
      <c r="AY149">
        <v>0</v>
      </c>
      <c r="AZ149">
        <v>0</v>
      </c>
      <c r="BA149">
        <v>0</v>
      </c>
      <c r="BB149">
        <v>0</v>
      </c>
      <c r="BC149">
        <v>0</v>
      </c>
    </row>
    <row r="150" spans="1:55" x14ac:dyDescent="0.3">
      <c r="A150">
        <v>44</v>
      </c>
      <c r="B150" t="s">
        <v>87</v>
      </c>
      <c r="C150" t="s">
        <v>132</v>
      </c>
      <c r="D150" t="s">
        <v>135</v>
      </c>
      <c r="E150" t="s">
        <v>140</v>
      </c>
      <c r="F150" t="s">
        <v>169</v>
      </c>
      <c r="G150">
        <v>78</v>
      </c>
      <c r="H150">
        <v>0</v>
      </c>
      <c r="I150" t="s">
        <v>181</v>
      </c>
      <c r="J150" t="s">
        <v>231</v>
      </c>
      <c r="L150">
        <v>1995</v>
      </c>
      <c r="M150">
        <v>2015</v>
      </c>
      <c r="N150">
        <v>40</v>
      </c>
      <c r="O150">
        <v>40</v>
      </c>
      <c r="R150" t="s">
        <v>234</v>
      </c>
      <c r="S150">
        <v>5.13</v>
      </c>
      <c r="T150">
        <v>4.8600000000000003</v>
      </c>
      <c r="U150">
        <v>5.42</v>
      </c>
      <c r="V150">
        <v>0.144727029079601</v>
      </c>
      <c r="Y150" t="s">
        <v>237</v>
      </c>
      <c r="Z150">
        <v>1</v>
      </c>
      <c r="AA150">
        <v>0</v>
      </c>
      <c r="AB150">
        <v>0</v>
      </c>
      <c r="AC150">
        <v>95</v>
      </c>
      <c r="AD150" t="s">
        <v>238</v>
      </c>
      <c r="AE150" t="s">
        <v>240</v>
      </c>
      <c r="AF150" t="s">
        <v>246</v>
      </c>
      <c r="AH150" t="s">
        <v>279</v>
      </c>
      <c r="AI150" t="s">
        <v>262</v>
      </c>
      <c r="AJ150" t="s">
        <v>314</v>
      </c>
      <c r="AK150" t="s">
        <v>327</v>
      </c>
      <c r="AL150" t="s">
        <v>364</v>
      </c>
      <c r="AM150" t="s">
        <v>387</v>
      </c>
      <c r="AN150">
        <v>1</v>
      </c>
      <c r="AO150">
        <v>0</v>
      </c>
      <c r="AP150">
        <v>0</v>
      </c>
      <c r="AQ150">
        <v>0</v>
      </c>
      <c r="AR150">
        <v>0</v>
      </c>
      <c r="AS150">
        <v>0</v>
      </c>
      <c r="AT150">
        <v>1</v>
      </c>
      <c r="AU150">
        <v>0</v>
      </c>
      <c r="AV150">
        <v>0</v>
      </c>
      <c r="AW150">
        <v>0</v>
      </c>
      <c r="AX150">
        <v>0</v>
      </c>
      <c r="AY150">
        <v>0</v>
      </c>
      <c r="AZ150">
        <v>0</v>
      </c>
      <c r="BA150">
        <v>0</v>
      </c>
      <c r="BB150">
        <v>0</v>
      </c>
      <c r="BC150">
        <v>0</v>
      </c>
    </row>
    <row r="151" spans="1:55" x14ac:dyDescent="0.3">
      <c r="A151">
        <v>44</v>
      </c>
      <c r="B151" t="s">
        <v>87</v>
      </c>
      <c r="C151" t="s">
        <v>132</v>
      </c>
      <c r="D151" t="s">
        <v>135</v>
      </c>
      <c r="E151" t="s">
        <v>140</v>
      </c>
      <c r="F151" t="s">
        <v>169</v>
      </c>
      <c r="G151">
        <v>78</v>
      </c>
      <c r="H151">
        <v>0</v>
      </c>
      <c r="I151" t="s">
        <v>181</v>
      </c>
      <c r="J151" t="s">
        <v>231</v>
      </c>
      <c r="L151">
        <v>1995</v>
      </c>
      <c r="M151">
        <v>2015</v>
      </c>
      <c r="N151">
        <v>60</v>
      </c>
      <c r="O151">
        <v>60</v>
      </c>
      <c r="R151" t="s">
        <v>234</v>
      </c>
      <c r="S151">
        <v>2.72</v>
      </c>
      <c r="T151">
        <v>2.65</v>
      </c>
      <c r="U151">
        <v>2.79</v>
      </c>
      <c r="V151">
        <v>3.5958441168459067E-2</v>
      </c>
      <c r="Y151" t="s">
        <v>237</v>
      </c>
      <c r="Z151">
        <v>1</v>
      </c>
      <c r="AA151">
        <v>0</v>
      </c>
      <c r="AB151">
        <v>0</v>
      </c>
      <c r="AC151">
        <v>95</v>
      </c>
      <c r="AD151" t="s">
        <v>238</v>
      </c>
      <c r="AE151" t="s">
        <v>240</v>
      </c>
      <c r="AF151" t="s">
        <v>246</v>
      </c>
      <c r="AH151" t="s">
        <v>279</v>
      </c>
      <c r="AI151" t="s">
        <v>262</v>
      </c>
      <c r="AJ151" t="s">
        <v>314</v>
      </c>
      <c r="AK151" t="s">
        <v>327</v>
      </c>
      <c r="AL151" t="s">
        <v>364</v>
      </c>
      <c r="AM151" t="s">
        <v>387</v>
      </c>
      <c r="AN151">
        <v>1</v>
      </c>
      <c r="AO151">
        <v>0</v>
      </c>
      <c r="AP151">
        <v>0</v>
      </c>
      <c r="AQ151">
        <v>0</v>
      </c>
      <c r="AR151">
        <v>0</v>
      </c>
      <c r="AS151">
        <v>0</v>
      </c>
      <c r="AT151">
        <v>1</v>
      </c>
      <c r="AU151">
        <v>0</v>
      </c>
      <c r="AV151">
        <v>0</v>
      </c>
      <c r="AW151">
        <v>0</v>
      </c>
      <c r="AX151">
        <v>0</v>
      </c>
      <c r="AY151">
        <v>0</v>
      </c>
      <c r="AZ151">
        <v>0</v>
      </c>
      <c r="BA151">
        <v>0</v>
      </c>
      <c r="BB151">
        <v>0</v>
      </c>
      <c r="BC151">
        <v>0</v>
      </c>
    </row>
    <row r="152" spans="1:55" x14ac:dyDescent="0.3">
      <c r="A152">
        <v>44</v>
      </c>
      <c r="B152" t="s">
        <v>87</v>
      </c>
      <c r="C152" t="s">
        <v>132</v>
      </c>
      <c r="D152" t="s">
        <v>135</v>
      </c>
      <c r="E152" t="s">
        <v>140</v>
      </c>
      <c r="F152" t="s">
        <v>169</v>
      </c>
      <c r="G152">
        <v>78</v>
      </c>
      <c r="H152">
        <v>0</v>
      </c>
      <c r="I152" t="s">
        <v>181</v>
      </c>
      <c r="J152" t="s">
        <v>231</v>
      </c>
      <c r="L152">
        <v>1995</v>
      </c>
      <c r="M152">
        <v>2015</v>
      </c>
      <c r="N152">
        <v>80</v>
      </c>
      <c r="O152">
        <v>80</v>
      </c>
      <c r="R152" t="s">
        <v>234</v>
      </c>
      <c r="S152">
        <v>1.66</v>
      </c>
      <c r="T152">
        <v>1.62</v>
      </c>
      <c r="U152">
        <v>1.7</v>
      </c>
      <c r="V152">
        <v>2.053850856967477E-2</v>
      </c>
      <c r="Y152" t="s">
        <v>237</v>
      </c>
      <c r="Z152">
        <v>1</v>
      </c>
      <c r="AA152">
        <v>0</v>
      </c>
      <c r="AB152">
        <v>0</v>
      </c>
      <c r="AC152">
        <v>95</v>
      </c>
      <c r="AD152" t="s">
        <v>238</v>
      </c>
      <c r="AE152" t="s">
        <v>240</v>
      </c>
      <c r="AF152" t="s">
        <v>246</v>
      </c>
      <c r="AH152" t="s">
        <v>279</v>
      </c>
      <c r="AI152" t="s">
        <v>262</v>
      </c>
      <c r="AJ152" t="s">
        <v>314</v>
      </c>
      <c r="AK152" t="s">
        <v>327</v>
      </c>
      <c r="AL152" t="s">
        <v>364</v>
      </c>
      <c r="AM152" t="s">
        <v>387</v>
      </c>
      <c r="AN152">
        <v>1</v>
      </c>
      <c r="AO152">
        <v>0</v>
      </c>
      <c r="AP152">
        <v>0</v>
      </c>
      <c r="AQ152">
        <v>0</v>
      </c>
      <c r="AR152">
        <v>0</v>
      </c>
      <c r="AS152">
        <v>0</v>
      </c>
      <c r="AT152">
        <v>1</v>
      </c>
      <c r="AU152">
        <v>0</v>
      </c>
      <c r="AV152">
        <v>0</v>
      </c>
      <c r="AW152">
        <v>0</v>
      </c>
      <c r="AX152">
        <v>0</v>
      </c>
      <c r="AY152">
        <v>0</v>
      </c>
      <c r="AZ152">
        <v>0</v>
      </c>
      <c r="BA152">
        <v>0</v>
      </c>
      <c r="BB152">
        <v>0</v>
      </c>
      <c r="BC152">
        <v>0</v>
      </c>
    </row>
    <row r="153" spans="1:55" x14ac:dyDescent="0.3">
      <c r="A153">
        <v>45</v>
      </c>
      <c r="B153" t="s">
        <v>89</v>
      </c>
      <c r="C153" t="s">
        <v>103</v>
      </c>
      <c r="D153" t="s">
        <v>102</v>
      </c>
      <c r="E153" t="s">
        <v>140</v>
      </c>
      <c r="F153" t="s">
        <v>170</v>
      </c>
      <c r="G153">
        <v>35497</v>
      </c>
      <c r="H153">
        <v>1</v>
      </c>
      <c r="I153" t="s">
        <v>213</v>
      </c>
      <c r="J153" t="s">
        <v>230</v>
      </c>
      <c r="L153">
        <v>1978</v>
      </c>
      <c r="M153">
        <v>1999</v>
      </c>
      <c r="N153">
        <v>28</v>
      </c>
      <c r="O153">
        <v>78.2</v>
      </c>
      <c r="P153">
        <v>50.7</v>
      </c>
      <c r="R153" t="s">
        <v>233</v>
      </c>
      <c r="S153">
        <v>3.4</v>
      </c>
      <c r="T153">
        <v>2.2400000000000002</v>
      </c>
      <c r="U153">
        <v>5.78</v>
      </c>
      <c r="V153">
        <v>0.93013273287762799</v>
      </c>
      <c r="W153">
        <v>16</v>
      </c>
      <c r="X153">
        <v>90</v>
      </c>
      <c r="Y153" t="s">
        <v>236</v>
      </c>
      <c r="Z153">
        <v>1</v>
      </c>
      <c r="AA153">
        <v>0</v>
      </c>
      <c r="AB153">
        <v>0</v>
      </c>
      <c r="AC153">
        <v>95</v>
      </c>
      <c r="AD153" t="s">
        <v>239</v>
      </c>
      <c r="AE153" t="s">
        <v>240</v>
      </c>
      <c r="AF153" t="s">
        <v>246</v>
      </c>
      <c r="AH153" t="s">
        <v>280</v>
      </c>
      <c r="AI153" t="s">
        <v>262</v>
      </c>
      <c r="AJ153" t="s">
        <v>316</v>
      </c>
      <c r="AK153" t="s">
        <v>7</v>
      </c>
      <c r="AL153" t="s">
        <v>366</v>
      </c>
      <c r="AM153" t="s">
        <v>333</v>
      </c>
      <c r="AN153">
        <v>1</v>
      </c>
      <c r="AO153">
        <v>0</v>
      </c>
      <c r="AP153">
        <v>0</v>
      </c>
      <c r="AQ153">
        <v>0</v>
      </c>
      <c r="AR153">
        <v>1</v>
      </c>
      <c r="AS153">
        <v>0</v>
      </c>
      <c r="AT153">
        <v>0</v>
      </c>
      <c r="AU153">
        <v>0</v>
      </c>
      <c r="AV153">
        <v>0</v>
      </c>
      <c r="AW153">
        <v>0</v>
      </c>
      <c r="AX153">
        <v>0</v>
      </c>
      <c r="AY153">
        <v>0</v>
      </c>
      <c r="AZ153">
        <v>0</v>
      </c>
      <c r="BA153">
        <v>0</v>
      </c>
      <c r="BB153">
        <v>0</v>
      </c>
      <c r="BC153">
        <v>0</v>
      </c>
    </row>
    <row r="154" spans="1:55" x14ac:dyDescent="0.3">
      <c r="A154">
        <v>45</v>
      </c>
      <c r="B154" t="s">
        <v>89</v>
      </c>
      <c r="C154" t="s">
        <v>103</v>
      </c>
      <c r="D154" t="s">
        <v>102</v>
      </c>
      <c r="E154" t="s">
        <v>140</v>
      </c>
      <c r="F154" t="s">
        <v>170</v>
      </c>
      <c r="G154">
        <v>35497</v>
      </c>
      <c r="H154">
        <v>1</v>
      </c>
      <c r="I154" t="s">
        <v>213</v>
      </c>
      <c r="J154" t="s">
        <v>231</v>
      </c>
      <c r="L154">
        <v>1978</v>
      </c>
      <c r="M154">
        <v>1999</v>
      </c>
      <c r="N154">
        <v>28</v>
      </c>
      <c r="O154">
        <v>78.2</v>
      </c>
      <c r="P154">
        <v>50.7</v>
      </c>
      <c r="R154" t="s">
        <v>233</v>
      </c>
      <c r="S154">
        <v>15.09</v>
      </c>
      <c r="T154">
        <v>8.36</v>
      </c>
      <c r="U154">
        <v>27.25</v>
      </c>
      <c r="V154">
        <v>5.3085767565477804</v>
      </c>
      <c r="W154">
        <v>11</v>
      </c>
      <c r="X154">
        <v>40</v>
      </c>
      <c r="Y154" t="s">
        <v>236</v>
      </c>
      <c r="Z154">
        <v>1</v>
      </c>
      <c r="AA154">
        <v>0</v>
      </c>
      <c r="AB154">
        <v>0</v>
      </c>
      <c r="AC154">
        <v>95</v>
      </c>
      <c r="AD154" t="s">
        <v>239</v>
      </c>
      <c r="AE154" t="s">
        <v>240</v>
      </c>
      <c r="AF154" t="s">
        <v>246</v>
      </c>
      <c r="AH154" t="s">
        <v>280</v>
      </c>
      <c r="AI154" t="s">
        <v>262</v>
      </c>
      <c r="AJ154" t="s">
        <v>316</v>
      </c>
      <c r="AK154" t="s">
        <v>7</v>
      </c>
      <c r="AL154" t="s">
        <v>366</v>
      </c>
      <c r="AM154" t="s">
        <v>333</v>
      </c>
      <c r="AN154">
        <v>1</v>
      </c>
      <c r="AO154">
        <v>0</v>
      </c>
      <c r="AP154">
        <v>0</v>
      </c>
      <c r="AQ154">
        <v>0</v>
      </c>
      <c r="AR154">
        <v>1</v>
      </c>
      <c r="AS154">
        <v>0</v>
      </c>
      <c r="AT154">
        <v>0</v>
      </c>
      <c r="AU154">
        <v>0</v>
      </c>
      <c r="AV154">
        <v>0</v>
      </c>
      <c r="AW154">
        <v>0</v>
      </c>
      <c r="AX154">
        <v>0</v>
      </c>
      <c r="AY154">
        <v>0</v>
      </c>
      <c r="AZ154">
        <v>0</v>
      </c>
      <c r="BA154">
        <v>0</v>
      </c>
      <c r="BB154">
        <v>0</v>
      </c>
      <c r="BC154">
        <v>0</v>
      </c>
    </row>
    <row r="155" spans="1:55" x14ac:dyDescent="0.3">
      <c r="A155">
        <v>46</v>
      </c>
      <c r="B155" t="s">
        <v>51</v>
      </c>
      <c r="C155" t="s">
        <v>103</v>
      </c>
      <c r="D155" t="s">
        <v>130</v>
      </c>
      <c r="E155" t="s">
        <v>137</v>
      </c>
      <c r="F155" t="s">
        <v>144</v>
      </c>
      <c r="G155">
        <v>71</v>
      </c>
      <c r="H155">
        <v>1</v>
      </c>
      <c r="I155" t="s">
        <v>183</v>
      </c>
      <c r="J155" t="s">
        <v>231</v>
      </c>
      <c r="L155">
        <v>2011</v>
      </c>
      <c r="M155">
        <v>2014</v>
      </c>
      <c r="N155">
        <v>25</v>
      </c>
      <c r="O155">
        <v>34</v>
      </c>
      <c r="R155" t="s">
        <v>232</v>
      </c>
      <c r="S155">
        <v>0.26400000000000001</v>
      </c>
      <c r="T155">
        <v>0.1894075191168228</v>
      </c>
      <c r="U155">
        <v>0.35509962292985608</v>
      </c>
      <c r="V155">
        <v>4.3801012781048358E-2</v>
      </c>
      <c r="W155">
        <v>28</v>
      </c>
      <c r="X155">
        <v>106</v>
      </c>
      <c r="Y155" t="s">
        <v>236</v>
      </c>
      <c r="Z155">
        <v>1</v>
      </c>
      <c r="AA155">
        <v>0</v>
      </c>
      <c r="AB155">
        <v>0</v>
      </c>
      <c r="AC155">
        <v>95</v>
      </c>
      <c r="AD155" t="s">
        <v>239</v>
      </c>
      <c r="AE155" t="s">
        <v>240</v>
      </c>
      <c r="AF155" t="s">
        <v>243</v>
      </c>
      <c r="AH155" t="s">
        <v>250</v>
      </c>
      <c r="AI155" t="s">
        <v>262</v>
      </c>
      <c r="AJ155" t="s">
        <v>291</v>
      </c>
      <c r="AK155" t="s">
        <v>324</v>
      </c>
      <c r="AL155" t="s">
        <v>337</v>
      </c>
      <c r="AM155" t="s">
        <v>376</v>
      </c>
      <c r="AN155">
        <v>0</v>
      </c>
      <c r="AO155">
        <v>0</v>
      </c>
      <c r="AP155">
        <v>0</v>
      </c>
      <c r="AQ155">
        <v>0</v>
      </c>
      <c r="AR155">
        <v>0</v>
      </c>
      <c r="AS155">
        <v>0</v>
      </c>
      <c r="AT155">
        <v>0</v>
      </c>
      <c r="AU155">
        <v>0</v>
      </c>
      <c r="AV155">
        <v>0</v>
      </c>
      <c r="AW155">
        <v>0</v>
      </c>
      <c r="AX155">
        <v>0</v>
      </c>
      <c r="AY155">
        <v>0</v>
      </c>
      <c r="AZ155">
        <v>0</v>
      </c>
      <c r="BA155">
        <v>0</v>
      </c>
      <c r="BB155">
        <v>0</v>
      </c>
      <c r="BC155">
        <v>1</v>
      </c>
    </row>
    <row r="156" spans="1:55" x14ac:dyDescent="0.3">
      <c r="A156">
        <v>46</v>
      </c>
      <c r="B156" t="s">
        <v>51</v>
      </c>
      <c r="C156" t="s">
        <v>103</v>
      </c>
      <c r="D156" t="s">
        <v>130</v>
      </c>
      <c r="E156" t="s">
        <v>137</v>
      </c>
      <c r="F156" t="s">
        <v>144</v>
      </c>
      <c r="G156">
        <v>71</v>
      </c>
      <c r="H156">
        <v>1</v>
      </c>
      <c r="I156" t="s">
        <v>183</v>
      </c>
      <c r="J156" t="s">
        <v>231</v>
      </c>
      <c r="L156">
        <v>2011</v>
      </c>
      <c r="M156">
        <v>2014</v>
      </c>
      <c r="N156">
        <v>35</v>
      </c>
      <c r="O156">
        <v>44</v>
      </c>
      <c r="R156" t="s">
        <v>232</v>
      </c>
      <c r="S156">
        <v>0.217</v>
      </c>
      <c r="T156">
        <v>0.1514756478670008</v>
      </c>
      <c r="U156">
        <v>0.30081986713331038</v>
      </c>
      <c r="V156">
        <v>3.9371364283359182E-2</v>
      </c>
      <c r="W156">
        <v>25</v>
      </c>
      <c r="X156">
        <v>115</v>
      </c>
      <c r="Y156" t="s">
        <v>236</v>
      </c>
      <c r="Z156">
        <v>1</v>
      </c>
      <c r="AA156">
        <v>0</v>
      </c>
      <c r="AB156">
        <v>0</v>
      </c>
      <c r="AC156">
        <v>95</v>
      </c>
      <c r="AD156" t="s">
        <v>239</v>
      </c>
      <c r="AE156" t="s">
        <v>240</v>
      </c>
      <c r="AF156" t="s">
        <v>243</v>
      </c>
      <c r="AH156" t="s">
        <v>250</v>
      </c>
      <c r="AI156" t="s">
        <v>262</v>
      </c>
      <c r="AJ156" t="s">
        <v>291</v>
      </c>
      <c r="AK156" t="s">
        <v>324</v>
      </c>
      <c r="AL156" t="s">
        <v>337</v>
      </c>
      <c r="AM156" t="s">
        <v>376</v>
      </c>
      <c r="AN156">
        <v>0</v>
      </c>
      <c r="AO156">
        <v>0</v>
      </c>
      <c r="AP156">
        <v>0</v>
      </c>
      <c r="AQ156">
        <v>0</v>
      </c>
      <c r="AR156">
        <v>0</v>
      </c>
      <c r="AS156">
        <v>0</v>
      </c>
      <c r="AT156">
        <v>0</v>
      </c>
      <c r="AU156">
        <v>0</v>
      </c>
      <c r="AV156">
        <v>0</v>
      </c>
      <c r="AW156">
        <v>0</v>
      </c>
      <c r="AX156">
        <v>0</v>
      </c>
      <c r="AY156">
        <v>0</v>
      </c>
      <c r="AZ156">
        <v>0</v>
      </c>
      <c r="BA156">
        <v>0</v>
      </c>
      <c r="BB156">
        <v>0</v>
      </c>
      <c r="BC156">
        <v>1</v>
      </c>
    </row>
    <row r="157" spans="1:55" x14ac:dyDescent="0.3">
      <c r="A157">
        <v>46</v>
      </c>
      <c r="B157" t="s">
        <v>51</v>
      </c>
      <c r="C157" t="s">
        <v>103</v>
      </c>
      <c r="D157" t="s">
        <v>130</v>
      </c>
      <c r="E157" t="s">
        <v>137</v>
      </c>
      <c r="F157" t="s">
        <v>144</v>
      </c>
      <c r="G157">
        <v>71</v>
      </c>
      <c r="H157">
        <v>1</v>
      </c>
      <c r="I157" t="s">
        <v>183</v>
      </c>
      <c r="J157" t="s">
        <v>231</v>
      </c>
      <c r="L157">
        <v>2011</v>
      </c>
      <c r="M157">
        <v>2014</v>
      </c>
      <c r="N157">
        <v>45</v>
      </c>
      <c r="O157">
        <v>54</v>
      </c>
      <c r="R157" t="s">
        <v>232</v>
      </c>
      <c r="S157">
        <v>0.26800000000000002</v>
      </c>
      <c r="T157">
        <v>0.1986139741099377</v>
      </c>
      <c r="U157">
        <v>0.35100890130636858</v>
      </c>
      <c r="V157">
        <v>4.0052910558310832E-2</v>
      </c>
      <c r="W157">
        <v>34</v>
      </c>
      <c r="X157">
        <v>127</v>
      </c>
      <c r="Y157" t="s">
        <v>236</v>
      </c>
      <c r="Z157">
        <v>1</v>
      </c>
      <c r="AA157">
        <v>0</v>
      </c>
      <c r="AB157">
        <v>0</v>
      </c>
      <c r="AC157">
        <v>95</v>
      </c>
      <c r="AD157" t="s">
        <v>239</v>
      </c>
      <c r="AE157" t="s">
        <v>240</v>
      </c>
      <c r="AF157" t="s">
        <v>243</v>
      </c>
      <c r="AH157" t="s">
        <v>250</v>
      </c>
      <c r="AI157" t="s">
        <v>262</v>
      </c>
      <c r="AJ157" t="s">
        <v>291</v>
      </c>
      <c r="AK157" t="s">
        <v>324</v>
      </c>
      <c r="AL157" t="s">
        <v>337</v>
      </c>
      <c r="AM157" t="s">
        <v>376</v>
      </c>
      <c r="AN157">
        <v>0</v>
      </c>
      <c r="AO157">
        <v>0</v>
      </c>
      <c r="AP157">
        <v>0</v>
      </c>
      <c r="AQ157">
        <v>0</v>
      </c>
      <c r="AR157">
        <v>0</v>
      </c>
      <c r="AS157">
        <v>0</v>
      </c>
      <c r="AT157">
        <v>0</v>
      </c>
      <c r="AU157">
        <v>0</v>
      </c>
      <c r="AV157">
        <v>0</v>
      </c>
      <c r="AW157">
        <v>0</v>
      </c>
      <c r="AX157">
        <v>0</v>
      </c>
      <c r="AY157">
        <v>0</v>
      </c>
      <c r="AZ157">
        <v>0</v>
      </c>
      <c r="BA157">
        <v>0</v>
      </c>
      <c r="BB157">
        <v>0</v>
      </c>
      <c r="BC157">
        <v>1</v>
      </c>
    </row>
    <row r="158" spans="1:55" x14ac:dyDescent="0.3">
      <c r="A158">
        <v>46</v>
      </c>
      <c r="B158" t="s">
        <v>51</v>
      </c>
      <c r="C158" t="s">
        <v>103</v>
      </c>
      <c r="D158" t="s">
        <v>130</v>
      </c>
      <c r="E158" t="s">
        <v>137</v>
      </c>
      <c r="F158" t="s">
        <v>144</v>
      </c>
      <c r="G158">
        <v>71</v>
      </c>
      <c r="H158">
        <v>1</v>
      </c>
      <c r="I158" t="s">
        <v>183</v>
      </c>
      <c r="J158" t="s">
        <v>231</v>
      </c>
      <c r="L158">
        <v>2011</v>
      </c>
      <c r="M158">
        <v>2014</v>
      </c>
      <c r="N158">
        <v>55</v>
      </c>
      <c r="O158">
        <v>64</v>
      </c>
      <c r="R158" t="s">
        <v>232</v>
      </c>
      <c r="S158">
        <v>0.21</v>
      </c>
      <c r="T158">
        <v>0.15509712100416631</v>
      </c>
      <c r="U158">
        <v>0.27794447985421211</v>
      </c>
      <c r="V158">
        <v>3.2060075238454583E-2</v>
      </c>
      <c r="W158">
        <v>35</v>
      </c>
      <c r="X158">
        <v>167</v>
      </c>
      <c r="Y158" t="s">
        <v>236</v>
      </c>
      <c r="Z158">
        <v>1</v>
      </c>
      <c r="AA158">
        <v>0</v>
      </c>
      <c r="AB158">
        <v>0</v>
      </c>
      <c r="AC158">
        <v>95</v>
      </c>
      <c r="AD158" t="s">
        <v>239</v>
      </c>
      <c r="AE158" t="s">
        <v>240</v>
      </c>
      <c r="AF158" t="s">
        <v>243</v>
      </c>
      <c r="AH158" t="s">
        <v>250</v>
      </c>
      <c r="AI158" t="s">
        <v>262</v>
      </c>
      <c r="AJ158" t="s">
        <v>291</v>
      </c>
      <c r="AK158" t="s">
        <v>324</v>
      </c>
      <c r="AL158" t="s">
        <v>337</v>
      </c>
      <c r="AM158" t="s">
        <v>376</v>
      </c>
      <c r="AN158">
        <v>0</v>
      </c>
      <c r="AO158">
        <v>0</v>
      </c>
      <c r="AP158">
        <v>0</v>
      </c>
      <c r="AQ158">
        <v>0</v>
      </c>
      <c r="AR158">
        <v>0</v>
      </c>
      <c r="AS158">
        <v>0</v>
      </c>
      <c r="AT158">
        <v>0</v>
      </c>
      <c r="AU158">
        <v>0</v>
      </c>
      <c r="AV158">
        <v>0</v>
      </c>
      <c r="AW158">
        <v>0</v>
      </c>
      <c r="AX158">
        <v>0</v>
      </c>
      <c r="AY158">
        <v>0</v>
      </c>
      <c r="AZ158">
        <v>0</v>
      </c>
      <c r="BA158">
        <v>0</v>
      </c>
      <c r="BB158">
        <v>0</v>
      </c>
      <c r="BC158">
        <v>1</v>
      </c>
    </row>
    <row r="159" spans="1:55" x14ac:dyDescent="0.3">
      <c r="A159">
        <v>46</v>
      </c>
      <c r="B159" t="s">
        <v>51</v>
      </c>
      <c r="C159" t="s">
        <v>103</v>
      </c>
      <c r="D159" t="s">
        <v>130</v>
      </c>
      <c r="E159" t="s">
        <v>137</v>
      </c>
      <c r="F159" t="s">
        <v>144</v>
      </c>
      <c r="G159">
        <v>71</v>
      </c>
      <c r="H159">
        <v>1</v>
      </c>
      <c r="I159" t="s">
        <v>183</v>
      </c>
      <c r="J159" t="s">
        <v>231</v>
      </c>
      <c r="L159">
        <v>2011</v>
      </c>
      <c r="M159">
        <v>2014</v>
      </c>
      <c r="N159">
        <v>65</v>
      </c>
      <c r="O159">
        <v>74</v>
      </c>
      <c r="R159" t="s">
        <v>232</v>
      </c>
      <c r="S159">
        <v>0.14099999999999999</v>
      </c>
      <c r="T159">
        <v>9.2771268786204356E-2</v>
      </c>
      <c r="U159">
        <v>0.2085380231800773</v>
      </c>
      <c r="V159">
        <v>3.034906024150065E-2</v>
      </c>
      <c r="W159">
        <v>20</v>
      </c>
      <c r="X159">
        <v>139</v>
      </c>
      <c r="Y159" t="s">
        <v>236</v>
      </c>
      <c r="Z159">
        <v>1</v>
      </c>
      <c r="AA159">
        <v>0</v>
      </c>
      <c r="AB159">
        <v>0</v>
      </c>
      <c r="AC159">
        <v>95</v>
      </c>
      <c r="AD159" t="s">
        <v>239</v>
      </c>
      <c r="AE159" t="s">
        <v>240</v>
      </c>
      <c r="AF159" t="s">
        <v>243</v>
      </c>
      <c r="AH159" t="s">
        <v>250</v>
      </c>
      <c r="AI159" t="s">
        <v>262</v>
      </c>
      <c r="AJ159" t="s">
        <v>291</v>
      </c>
      <c r="AK159" t="s">
        <v>324</v>
      </c>
      <c r="AL159" t="s">
        <v>337</v>
      </c>
      <c r="AM159" t="s">
        <v>376</v>
      </c>
      <c r="AN159">
        <v>0</v>
      </c>
      <c r="AO159">
        <v>0</v>
      </c>
      <c r="AP159">
        <v>0</v>
      </c>
      <c r="AQ159">
        <v>0</v>
      </c>
      <c r="AR159">
        <v>0</v>
      </c>
      <c r="AS159">
        <v>0</v>
      </c>
      <c r="AT159">
        <v>0</v>
      </c>
      <c r="AU159">
        <v>0</v>
      </c>
      <c r="AV159">
        <v>0</v>
      </c>
      <c r="AW159">
        <v>0</v>
      </c>
      <c r="AX159">
        <v>0</v>
      </c>
      <c r="AY159">
        <v>0</v>
      </c>
      <c r="AZ159">
        <v>0</v>
      </c>
      <c r="BA159">
        <v>0</v>
      </c>
      <c r="BB159">
        <v>0</v>
      </c>
      <c r="BC159">
        <v>1</v>
      </c>
    </row>
    <row r="160" spans="1:55" x14ac:dyDescent="0.3">
      <c r="A160">
        <v>46</v>
      </c>
      <c r="B160" t="s">
        <v>51</v>
      </c>
      <c r="C160" t="s">
        <v>103</v>
      </c>
      <c r="D160" t="s">
        <v>130</v>
      </c>
      <c r="E160" t="s">
        <v>137</v>
      </c>
      <c r="F160" t="s">
        <v>144</v>
      </c>
      <c r="G160">
        <v>71</v>
      </c>
      <c r="H160">
        <v>1</v>
      </c>
      <c r="I160" t="s">
        <v>183</v>
      </c>
      <c r="J160" t="s">
        <v>231</v>
      </c>
      <c r="L160">
        <v>2011</v>
      </c>
      <c r="M160">
        <v>2014</v>
      </c>
      <c r="N160">
        <v>75</v>
      </c>
      <c r="O160">
        <v>99</v>
      </c>
      <c r="R160" t="s">
        <v>232</v>
      </c>
      <c r="S160">
        <v>0.13200000000000001</v>
      </c>
      <c r="T160">
        <v>8.1715285004413815E-2</v>
      </c>
      <c r="U160">
        <v>0.2062772361364936</v>
      </c>
      <c r="V160">
        <v>3.2847367888324722E-2</v>
      </c>
      <c r="W160">
        <v>15</v>
      </c>
      <c r="X160">
        <v>114</v>
      </c>
      <c r="Y160" t="s">
        <v>236</v>
      </c>
      <c r="Z160">
        <v>1</v>
      </c>
      <c r="AA160">
        <v>0</v>
      </c>
      <c r="AB160">
        <v>0</v>
      </c>
      <c r="AC160">
        <v>95</v>
      </c>
      <c r="AD160" t="s">
        <v>239</v>
      </c>
      <c r="AE160" t="s">
        <v>240</v>
      </c>
      <c r="AF160" t="s">
        <v>243</v>
      </c>
      <c r="AH160" t="s">
        <v>250</v>
      </c>
      <c r="AI160" t="s">
        <v>262</v>
      </c>
      <c r="AJ160" t="s">
        <v>291</v>
      </c>
      <c r="AK160" t="s">
        <v>324</v>
      </c>
      <c r="AL160" t="s">
        <v>337</v>
      </c>
      <c r="AM160" t="s">
        <v>376</v>
      </c>
      <c r="AN160">
        <v>0</v>
      </c>
      <c r="AO160">
        <v>0</v>
      </c>
      <c r="AP160">
        <v>0</v>
      </c>
      <c r="AQ160">
        <v>0</v>
      </c>
      <c r="AR160">
        <v>0</v>
      </c>
      <c r="AS160">
        <v>0</v>
      </c>
      <c r="AT160">
        <v>0</v>
      </c>
      <c r="AU160">
        <v>0</v>
      </c>
      <c r="AV160">
        <v>0</v>
      </c>
      <c r="AW160">
        <v>0</v>
      </c>
      <c r="AX160">
        <v>0</v>
      </c>
      <c r="AY160">
        <v>0</v>
      </c>
      <c r="AZ160">
        <v>0</v>
      </c>
      <c r="BA160">
        <v>0</v>
      </c>
      <c r="BB160">
        <v>0</v>
      </c>
      <c r="BC160">
        <v>1</v>
      </c>
    </row>
    <row r="161" spans="1:55" x14ac:dyDescent="0.3">
      <c r="A161">
        <v>46</v>
      </c>
      <c r="B161" t="s">
        <v>51</v>
      </c>
      <c r="C161" t="s">
        <v>104</v>
      </c>
      <c r="D161" t="s">
        <v>133</v>
      </c>
      <c r="E161" t="s">
        <v>137</v>
      </c>
      <c r="F161" t="s">
        <v>144</v>
      </c>
      <c r="G161">
        <v>71</v>
      </c>
      <c r="H161">
        <v>1</v>
      </c>
      <c r="I161" t="s">
        <v>183</v>
      </c>
      <c r="J161" t="s">
        <v>231</v>
      </c>
      <c r="L161">
        <v>2011</v>
      </c>
      <c r="M161">
        <v>2014</v>
      </c>
      <c r="N161">
        <v>25</v>
      </c>
      <c r="O161">
        <v>99</v>
      </c>
      <c r="P161">
        <v>56.6</v>
      </c>
      <c r="R161" t="s">
        <v>232</v>
      </c>
      <c r="S161">
        <v>1.1778563015312101E-3</v>
      </c>
      <c r="T161">
        <v>0</v>
      </c>
      <c r="U161">
        <v>4.4091641036249291E-3</v>
      </c>
      <c r="V161">
        <v>1.648656724093842E-3</v>
      </c>
      <c r="W161">
        <v>1</v>
      </c>
      <c r="X161">
        <v>849</v>
      </c>
      <c r="Y161" t="s">
        <v>236</v>
      </c>
      <c r="Z161">
        <v>1</v>
      </c>
      <c r="AA161">
        <v>0</v>
      </c>
      <c r="AB161">
        <v>0</v>
      </c>
      <c r="AC161">
        <v>95</v>
      </c>
      <c r="AD161" t="s">
        <v>239</v>
      </c>
      <c r="AE161" t="s">
        <v>240</v>
      </c>
      <c r="AF161" t="s">
        <v>243</v>
      </c>
      <c r="AH161" t="s">
        <v>248</v>
      </c>
      <c r="AI161" t="s">
        <v>258</v>
      </c>
      <c r="AJ161" t="s">
        <v>291</v>
      </c>
      <c r="AK161" t="s">
        <v>325</v>
      </c>
      <c r="AL161" t="s">
        <v>337</v>
      </c>
      <c r="AM161" t="s">
        <v>376</v>
      </c>
      <c r="AN161">
        <v>0</v>
      </c>
      <c r="AO161">
        <v>1</v>
      </c>
      <c r="AP161">
        <v>1</v>
      </c>
      <c r="AQ161">
        <v>0</v>
      </c>
      <c r="AR161">
        <v>0</v>
      </c>
      <c r="AS161">
        <v>0</v>
      </c>
      <c r="AT161">
        <v>0</v>
      </c>
      <c r="AU161">
        <v>0</v>
      </c>
      <c r="AV161">
        <v>0</v>
      </c>
      <c r="AW161">
        <v>0</v>
      </c>
      <c r="AX161">
        <v>0</v>
      </c>
      <c r="AY161">
        <v>0</v>
      </c>
      <c r="AZ161">
        <v>0</v>
      </c>
      <c r="BA161">
        <v>1</v>
      </c>
      <c r="BB161">
        <v>0</v>
      </c>
      <c r="BC161">
        <v>0</v>
      </c>
    </row>
    <row r="162" spans="1:55" x14ac:dyDescent="0.3">
      <c r="A162">
        <v>46</v>
      </c>
      <c r="B162" t="s">
        <v>51</v>
      </c>
      <c r="C162" t="s">
        <v>104</v>
      </c>
      <c r="D162" t="s">
        <v>133</v>
      </c>
      <c r="E162" t="s">
        <v>137</v>
      </c>
      <c r="F162" t="s">
        <v>144</v>
      </c>
      <c r="G162">
        <v>71</v>
      </c>
      <c r="H162">
        <v>1</v>
      </c>
      <c r="I162" t="s">
        <v>183</v>
      </c>
      <c r="J162" t="s">
        <v>231</v>
      </c>
      <c r="L162">
        <v>2011</v>
      </c>
      <c r="M162">
        <v>2014</v>
      </c>
      <c r="N162">
        <v>25</v>
      </c>
      <c r="O162">
        <v>99</v>
      </c>
      <c r="P162">
        <v>56.6</v>
      </c>
      <c r="R162" t="s">
        <v>232</v>
      </c>
      <c r="S162">
        <v>2.7E-2</v>
      </c>
      <c r="T162">
        <v>1.4E-2</v>
      </c>
      <c r="U162">
        <v>0.04</v>
      </c>
      <c r="V162">
        <v>6.6327749400205017E-3</v>
      </c>
      <c r="W162">
        <v>17</v>
      </c>
      <c r="X162">
        <v>849</v>
      </c>
      <c r="Y162" t="s">
        <v>236</v>
      </c>
      <c r="Z162">
        <v>1</v>
      </c>
      <c r="AA162">
        <v>0</v>
      </c>
      <c r="AB162">
        <v>0</v>
      </c>
      <c r="AC162">
        <v>95</v>
      </c>
      <c r="AD162" t="s">
        <v>239</v>
      </c>
      <c r="AE162" t="s">
        <v>240</v>
      </c>
      <c r="AF162" t="s">
        <v>243</v>
      </c>
      <c r="AH162" t="s">
        <v>249</v>
      </c>
      <c r="AI162" t="s">
        <v>253</v>
      </c>
      <c r="AJ162" t="s">
        <v>291</v>
      </c>
      <c r="AK162" t="s">
        <v>325</v>
      </c>
      <c r="AL162" t="s">
        <v>337</v>
      </c>
      <c r="AM162" t="s">
        <v>376</v>
      </c>
      <c r="AN162">
        <v>0</v>
      </c>
      <c r="AO162">
        <v>1</v>
      </c>
      <c r="AP162">
        <v>0</v>
      </c>
      <c r="AQ162">
        <v>1</v>
      </c>
      <c r="AR162">
        <v>0</v>
      </c>
      <c r="AS162">
        <v>0</v>
      </c>
      <c r="AT162">
        <v>0</v>
      </c>
      <c r="AU162">
        <v>0</v>
      </c>
      <c r="AV162">
        <v>0</v>
      </c>
      <c r="AW162">
        <v>0</v>
      </c>
      <c r="AX162">
        <v>0</v>
      </c>
      <c r="AY162">
        <v>0</v>
      </c>
      <c r="AZ162">
        <v>0</v>
      </c>
      <c r="BA162">
        <v>0</v>
      </c>
      <c r="BB162">
        <v>1</v>
      </c>
      <c r="BC162">
        <v>0</v>
      </c>
    </row>
    <row r="163" spans="1:55" x14ac:dyDescent="0.3">
      <c r="A163">
        <v>47</v>
      </c>
      <c r="B163" t="s">
        <v>67</v>
      </c>
      <c r="C163" t="s">
        <v>120</v>
      </c>
      <c r="D163" t="s">
        <v>102</v>
      </c>
      <c r="E163" t="s">
        <v>138</v>
      </c>
      <c r="F163" t="s">
        <v>145</v>
      </c>
      <c r="G163">
        <v>556</v>
      </c>
      <c r="H163">
        <v>1</v>
      </c>
      <c r="I163" t="s">
        <v>199</v>
      </c>
      <c r="J163" t="s">
        <v>229</v>
      </c>
      <c r="K163">
        <f>2371/3921</f>
        <v>0.60469268043866364</v>
      </c>
      <c r="L163">
        <v>1982</v>
      </c>
      <c r="M163">
        <v>1983</v>
      </c>
      <c r="N163">
        <v>18</v>
      </c>
      <c r="O163">
        <v>95</v>
      </c>
      <c r="R163" t="s">
        <v>232</v>
      </c>
      <c r="S163">
        <v>4.0000000000000001E-3</v>
      </c>
      <c r="T163">
        <v>8.0072030919892123E-5</v>
      </c>
      <c r="U163">
        <v>7.919927969080108E-3</v>
      </c>
      <c r="V163">
        <v>2E-3</v>
      </c>
      <c r="Y163" t="s">
        <v>236</v>
      </c>
      <c r="Z163">
        <v>1</v>
      </c>
      <c r="AA163">
        <v>0</v>
      </c>
      <c r="AB163">
        <v>0</v>
      </c>
      <c r="AC163">
        <v>95</v>
      </c>
      <c r="AD163" t="s">
        <v>239</v>
      </c>
      <c r="AE163" t="s">
        <v>240</v>
      </c>
      <c r="AF163" t="s">
        <v>243</v>
      </c>
      <c r="AH163" t="s">
        <v>257</v>
      </c>
      <c r="AI163" t="s">
        <v>258</v>
      </c>
      <c r="AJ163" t="s">
        <v>301</v>
      </c>
      <c r="AK163" t="s">
        <v>328</v>
      </c>
      <c r="AL163" t="s">
        <v>338</v>
      </c>
      <c r="AM163" t="s">
        <v>375</v>
      </c>
      <c r="AN163">
        <v>0</v>
      </c>
      <c r="AO163">
        <v>1</v>
      </c>
      <c r="AP163">
        <v>1</v>
      </c>
      <c r="AQ163">
        <v>0</v>
      </c>
      <c r="AR163">
        <v>0</v>
      </c>
      <c r="AS163">
        <v>0</v>
      </c>
      <c r="AT163">
        <v>0</v>
      </c>
      <c r="AU163">
        <v>0</v>
      </c>
      <c r="AV163">
        <v>0</v>
      </c>
      <c r="AW163">
        <v>0</v>
      </c>
      <c r="AX163">
        <v>1</v>
      </c>
      <c r="AY163">
        <v>0</v>
      </c>
      <c r="AZ163">
        <v>0</v>
      </c>
      <c r="BA163">
        <v>0</v>
      </c>
      <c r="BB163">
        <v>0</v>
      </c>
      <c r="BC163">
        <v>0</v>
      </c>
    </row>
    <row r="164" spans="1:55" x14ac:dyDescent="0.3">
      <c r="A164">
        <v>47</v>
      </c>
      <c r="B164" t="s">
        <v>67</v>
      </c>
      <c r="C164" t="s">
        <v>120</v>
      </c>
      <c r="D164" t="s">
        <v>102</v>
      </c>
      <c r="E164" t="s">
        <v>137</v>
      </c>
      <c r="F164" t="s">
        <v>163</v>
      </c>
      <c r="G164">
        <v>529</v>
      </c>
      <c r="H164">
        <v>1</v>
      </c>
      <c r="I164" t="s">
        <v>198</v>
      </c>
      <c r="J164" t="s">
        <v>229</v>
      </c>
      <c r="K164">
        <f>2972/5034</f>
        <v>0.5903853794199444</v>
      </c>
      <c r="L164">
        <v>1980</v>
      </c>
      <c r="M164">
        <v>1981</v>
      </c>
      <c r="N164">
        <v>18</v>
      </c>
      <c r="O164">
        <v>96</v>
      </c>
      <c r="R164" t="s">
        <v>232</v>
      </c>
      <c r="S164">
        <v>3.0000000000000001E-3</v>
      </c>
      <c r="T164">
        <v>1.0400360154599461E-3</v>
      </c>
      <c r="U164">
        <v>4.959963984540054E-3</v>
      </c>
      <c r="V164">
        <v>1E-3</v>
      </c>
      <c r="Y164" t="s">
        <v>236</v>
      </c>
      <c r="Z164">
        <v>1</v>
      </c>
      <c r="AA164">
        <v>0</v>
      </c>
      <c r="AB164">
        <v>0</v>
      </c>
      <c r="AC164">
        <v>95</v>
      </c>
      <c r="AD164" t="s">
        <v>239</v>
      </c>
      <c r="AE164" t="s">
        <v>241</v>
      </c>
      <c r="AF164" t="s">
        <v>243</v>
      </c>
      <c r="AH164" t="s">
        <v>257</v>
      </c>
      <c r="AI164" t="s">
        <v>258</v>
      </c>
      <c r="AJ164" t="s">
        <v>301</v>
      </c>
      <c r="AK164" t="s">
        <v>328</v>
      </c>
      <c r="AL164" t="s">
        <v>338</v>
      </c>
      <c r="AM164" t="s">
        <v>375</v>
      </c>
      <c r="AN164">
        <v>0</v>
      </c>
      <c r="AO164">
        <v>1</v>
      </c>
      <c r="AP164">
        <v>1</v>
      </c>
      <c r="AQ164">
        <v>0</v>
      </c>
      <c r="AR164">
        <v>0</v>
      </c>
      <c r="AS164">
        <v>0</v>
      </c>
      <c r="AT164">
        <v>0</v>
      </c>
      <c r="AU164">
        <v>0</v>
      </c>
      <c r="AV164">
        <v>0</v>
      </c>
      <c r="AW164">
        <v>0</v>
      </c>
      <c r="AX164">
        <v>1</v>
      </c>
      <c r="AY164">
        <v>0</v>
      </c>
      <c r="AZ164">
        <v>0</v>
      </c>
      <c r="BA164">
        <v>0</v>
      </c>
      <c r="BB164">
        <v>0</v>
      </c>
      <c r="BC164">
        <v>0</v>
      </c>
    </row>
    <row r="165" spans="1:55" x14ac:dyDescent="0.3">
      <c r="A165">
        <v>47</v>
      </c>
      <c r="B165" t="s">
        <v>67</v>
      </c>
      <c r="C165" t="s">
        <v>120</v>
      </c>
      <c r="D165" t="s">
        <v>102</v>
      </c>
      <c r="E165" t="s">
        <v>137</v>
      </c>
      <c r="F165" t="s">
        <v>162</v>
      </c>
      <c r="G165">
        <v>527</v>
      </c>
      <c r="H165">
        <v>1</v>
      </c>
      <c r="I165" t="s">
        <v>200</v>
      </c>
      <c r="J165" t="s">
        <v>229</v>
      </c>
      <c r="K165">
        <f>1650/3131</f>
        <v>0.52698818268923664</v>
      </c>
      <c r="L165">
        <v>1983</v>
      </c>
      <c r="M165">
        <v>1984</v>
      </c>
      <c r="N165">
        <v>18</v>
      </c>
      <c r="O165">
        <v>96</v>
      </c>
      <c r="P165">
        <v>41.7</v>
      </c>
      <c r="R165" t="s">
        <v>232</v>
      </c>
      <c r="S165">
        <v>4.0000000000000001E-3</v>
      </c>
      <c r="T165">
        <v>2.0400360154599461E-3</v>
      </c>
      <c r="U165">
        <v>5.9599639845400541E-3</v>
      </c>
      <c r="V165">
        <v>1E-3</v>
      </c>
      <c r="W165">
        <v>12.523999999999999</v>
      </c>
      <c r="X165">
        <v>3131</v>
      </c>
      <c r="Y165" t="s">
        <v>236</v>
      </c>
      <c r="Z165">
        <v>1</v>
      </c>
      <c r="AA165">
        <v>0</v>
      </c>
      <c r="AB165">
        <v>0</v>
      </c>
      <c r="AC165">
        <v>95</v>
      </c>
      <c r="AD165" t="s">
        <v>239</v>
      </c>
      <c r="AE165" t="s">
        <v>241</v>
      </c>
      <c r="AF165" t="s">
        <v>243</v>
      </c>
      <c r="AG165">
        <v>0.68</v>
      </c>
      <c r="AH165" t="s">
        <v>257</v>
      </c>
      <c r="AI165" t="s">
        <v>258</v>
      </c>
      <c r="AJ165" t="s">
        <v>301</v>
      </c>
      <c r="AK165" t="s">
        <v>328</v>
      </c>
      <c r="AL165" t="s">
        <v>338</v>
      </c>
      <c r="AM165" t="s">
        <v>375</v>
      </c>
      <c r="AN165">
        <v>0</v>
      </c>
      <c r="AO165">
        <v>1</v>
      </c>
      <c r="AP165">
        <v>1</v>
      </c>
      <c r="AQ165">
        <v>0</v>
      </c>
      <c r="AR165">
        <v>0</v>
      </c>
      <c r="AS165">
        <v>0</v>
      </c>
      <c r="AT165">
        <v>0</v>
      </c>
      <c r="AU165">
        <v>0</v>
      </c>
      <c r="AV165">
        <v>0</v>
      </c>
      <c r="AW165">
        <v>0</v>
      </c>
      <c r="AX165">
        <v>1</v>
      </c>
      <c r="AY165">
        <v>0</v>
      </c>
      <c r="AZ165">
        <v>0</v>
      </c>
      <c r="BA165">
        <v>0</v>
      </c>
      <c r="BB165">
        <v>0</v>
      </c>
      <c r="BC165">
        <v>0</v>
      </c>
    </row>
    <row r="166" spans="1:55" x14ac:dyDescent="0.3">
      <c r="A166">
        <v>48</v>
      </c>
      <c r="B166" t="s">
        <v>68</v>
      </c>
      <c r="C166" t="s">
        <v>121</v>
      </c>
      <c r="D166" t="s">
        <v>130</v>
      </c>
      <c r="E166" t="s">
        <v>137</v>
      </c>
      <c r="F166" t="s">
        <v>164</v>
      </c>
      <c r="G166">
        <v>528</v>
      </c>
      <c r="H166">
        <v>0</v>
      </c>
      <c r="I166" t="s">
        <v>201</v>
      </c>
      <c r="J166" t="s">
        <v>229</v>
      </c>
      <c r="K166">
        <v>0.52</v>
      </c>
      <c r="L166">
        <v>1985</v>
      </c>
      <c r="M166">
        <v>1986</v>
      </c>
      <c r="N166">
        <v>18</v>
      </c>
      <c r="O166">
        <v>99</v>
      </c>
      <c r="P166">
        <v>42.6</v>
      </c>
      <c r="R166" t="s">
        <v>232</v>
      </c>
      <c r="S166">
        <v>7.3421163575042199E-3</v>
      </c>
      <c r="T166">
        <v>5.2798808396009693E-3</v>
      </c>
      <c r="U166">
        <v>1.0201566773637471E-2</v>
      </c>
      <c r="V166">
        <v>1.2565718842478511E-3</v>
      </c>
      <c r="W166">
        <v>34.831000000000003</v>
      </c>
      <c r="X166">
        <v>4744</v>
      </c>
      <c r="Y166" t="s">
        <v>236</v>
      </c>
      <c r="Z166">
        <v>1</v>
      </c>
      <c r="AA166">
        <v>0</v>
      </c>
      <c r="AB166">
        <v>0</v>
      </c>
      <c r="AC166">
        <v>95</v>
      </c>
      <c r="AD166" t="s">
        <v>239</v>
      </c>
      <c r="AE166" t="s">
        <v>240</v>
      </c>
      <c r="AF166" t="s">
        <v>243</v>
      </c>
      <c r="AG166">
        <v>0.72</v>
      </c>
      <c r="AH166" t="s">
        <v>264</v>
      </c>
      <c r="AI166" t="s">
        <v>258</v>
      </c>
      <c r="AJ166" t="s">
        <v>301</v>
      </c>
      <c r="AK166" t="s">
        <v>323</v>
      </c>
      <c r="AL166" t="s">
        <v>350</v>
      </c>
      <c r="AM166" t="s">
        <v>375</v>
      </c>
      <c r="AN166">
        <v>0</v>
      </c>
      <c r="AO166">
        <v>1</v>
      </c>
      <c r="AP166">
        <v>1</v>
      </c>
      <c r="AQ166">
        <v>0</v>
      </c>
      <c r="AR166">
        <v>0</v>
      </c>
      <c r="AS166">
        <v>0</v>
      </c>
      <c r="AT166">
        <v>0</v>
      </c>
      <c r="AU166">
        <v>0</v>
      </c>
      <c r="AV166">
        <v>0</v>
      </c>
      <c r="AW166">
        <v>0</v>
      </c>
      <c r="AX166">
        <v>1</v>
      </c>
      <c r="AY166">
        <v>0</v>
      </c>
      <c r="AZ166">
        <v>0</v>
      </c>
      <c r="BA166">
        <v>0</v>
      </c>
      <c r="BB166">
        <v>0</v>
      </c>
      <c r="BC166">
        <v>0</v>
      </c>
    </row>
    <row r="167" spans="1:55" x14ac:dyDescent="0.3">
      <c r="A167">
        <v>49</v>
      </c>
      <c r="B167" t="s">
        <v>74</v>
      </c>
      <c r="C167" t="s">
        <v>127</v>
      </c>
      <c r="D167" t="s">
        <v>126</v>
      </c>
      <c r="E167" t="s">
        <v>138</v>
      </c>
      <c r="F167" t="s">
        <v>148</v>
      </c>
      <c r="G167">
        <v>543</v>
      </c>
      <c r="H167">
        <v>1</v>
      </c>
      <c r="I167" t="s">
        <v>186</v>
      </c>
      <c r="J167" t="s">
        <v>229</v>
      </c>
      <c r="K167">
        <v>0.63</v>
      </c>
      <c r="L167">
        <v>1997</v>
      </c>
      <c r="M167">
        <v>1999</v>
      </c>
      <c r="N167">
        <v>34</v>
      </c>
      <c r="O167">
        <v>94</v>
      </c>
      <c r="P167">
        <v>51</v>
      </c>
      <c r="R167" t="s">
        <v>232</v>
      </c>
      <c r="S167">
        <v>0.09</v>
      </c>
      <c r="T167">
        <v>5.0800720309198917E-2</v>
      </c>
      <c r="U167">
        <v>0.12919927969080111</v>
      </c>
      <c r="V167">
        <v>0.02</v>
      </c>
      <c r="W167">
        <v>73</v>
      </c>
      <c r="X167">
        <v>742</v>
      </c>
      <c r="Y167" t="s">
        <v>236</v>
      </c>
      <c r="Z167">
        <v>1</v>
      </c>
      <c r="AA167">
        <v>0</v>
      </c>
      <c r="AB167">
        <v>0</v>
      </c>
      <c r="AC167">
        <v>95</v>
      </c>
      <c r="AD167" t="s">
        <v>239</v>
      </c>
      <c r="AE167" t="s">
        <v>241</v>
      </c>
      <c r="AF167" t="s">
        <v>243</v>
      </c>
      <c r="AH167" t="s">
        <v>262</v>
      </c>
      <c r="AI167" t="s">
        <v>262</v>
      </c>
      <c r="AJ167" t="s">
        <v>308</v>
      </c>
      <c r="AK167" t="s">
        <v>411</v>
      </c>
      <c r="AL167" t="s">
        <v>360</v>
      </c>
      <c r="AM167" t="s">
        <v>375</v>
      </c>
      <c r="AN167">
        <v>0</v>
      </c>
      <c r="AO167">
        <v>0</v>
      </c>
      <c r="AP167">
        <v>0</v>
      </c>
      <c r="AQ167">
        <v>0</v>
      </c>
      <c r="AR167">
        <v>0</v>
      </c>
      <c r="AS167">
        <v>0</v>
      </c>
      <c r="AT167">
        <v>0</v>
      </c>
      <c r="AU167">
        <v>0</v>
      </c>
      <c r="AV167">
        <v>1</v>
      </c>
      <c r="AW167">
        <v>0</v>
      </c>
      <c r="AX167">
        <v>0</v>
      </c>
      <c r="AY167">
        <v>0</v>
      </c>
      <c r="AZ167">
        <v>0</v>
      </c>
      <c r="BA167">
        <v>0</v>
      </c>
      <c r="BB167">
        <v>0</v>
      </c>
      <c r="BC167">
        <v>0</v>
      </c>
    </row>
    <row r="168" spans="1:55" x14ac:dyDescent="0.3">
      <c r="A168">
        <v>49</v>
      </c>
      <c r="B168" t="s">
        <v>74</v>
      </c>
      <c r="C168" t="s">
        <v>127</v>
      </c>
      <c r="D168" t="s">
        <v>126</v>
      </c>
      <c r="E168" t="s">
        <v>138</v>
      </c>
      <c r="F168" t="s">
        <v>148</v>
      </c>
      <c r="G168">
        <v>543</v>
      </c>
      <c r="H168">
        <v>1</v>
      </c>
      <c r="I168" t="s">
        <v>186</v>
      </c>
      <c r="J168" t="s">
        <v>229</v>
      </c>
      <c r="K168">
        <v>0.63</v>
      </c>
      <c r="L168">
        <v>1997</v>
      </c>
      <c r="M168">
        <v>1999</v>
      </c>
      <c r="N168">
        <v>34</v>
      </c>
      <c r="O168">
        <v>94</v>
      </c>
      <c r="P168">
        <v>51</v>
      </c>
      <c r="R168" t="s">
        <v>232</v>
      </c>
      <c r="S168">
        <v>5.0000000000000001E-3</v>
      </c>
      <c r="T168">
        <v>0</v>
      </c>
      <c r="U168">
        <v>1.0879891953620159E-2</v>
      </c>
      <c r="V168">
        <v>3.0000000000000001E-3</v>
      </c>
      <c r="W168">
        <v>9</v>
      </c>
      <c r="X168">
        <v>742</v>
      </c>
      <c r="Y168" t="s">
        <v>236</v>
      </c>
      <c r="Z168">
        <v>1</v>
      </c>
      <c r="AA168">
        <v>0</v>
      </c>
      <c r="AB168">
        <v>0</v>
      </c>
      <c r="AC168">
        <v>95</v>
      </c>
      <c r="AD168" t="s">
        <v>239</v>
      </c>
      <c r="AE168" t="s">
        <v>241</v>
      </c>
      <c r="AF168" t="s">
        <v>243</v>
      </c>
      <c r="AH168" t="s">
        <v>249</v>
      </c>
      <c r="AI168" t="s">
        <v>253</v>
      </c>
      <c r="AJ168" t="s">
        <v>308</v>
      </c>
      <c r="AK168" t="s">
        <v>412</v>
      </c>
      <c r="AL168" t="s">
        <v>360</v>
      </c>
      <c r="AM168" t="s">
        <v>375</v>
      </c>
      <c r="AN168">
        <v>0</v>
      </c>
      <c r="AO168">
        <v>1</v>
      </c>
      <c r="AP168">
        <v>0</v>
      </c>
      <c r="AQ168">
        <v>1</v>
      </c>
      <c r="AR168">
        <v>0</v>
      </c>
      <c r="AS168">
        <v>0</v>
      </c>
      <c r="AT168">
        <v>0</v>
      </c>
      <c r="AU168">
        <v>0</v>
      </c>
      <c r="AV168">
        <v>1</v>
      </c>
      <c r="AW168">
        <v>0</v>
      </c>
      <c r="AX168">
        <v>0</v>
      </c>
      <c r="AY168">
        <v>0</v>
      </c>
      <c r="AZ168">
        <v>0</v>
      </c>
      <c r="BA168">
        <v>0</v>
      </c>
      <c r="BB168">
        <v>0</v>
      </c>
      <c r="BC168">
        <v>0</v>
      </c>
    </row>
    <row r="169" spans="1:55" x14ac:dyDescent="0.3">
      <c r="A169">
        <v>49</v>
      </c>
      <c r="B169" t="s">
        <v>74</v>
      </c>
      <c r="C169" t="s">
        <v>127</v>
      </c>
      <c r="D169" t="s">
        <v>126</v>
      </c>
      <c r="E169" t="s">
        <v>138</v>
      </c>
      <c r="F169" t="s">
        <v>148</v>
      </c>
      <c r="G169">
        <v>543</v>
      </c>
      <c r="H169">
        <v>1</v>
      </c>
      <c r="I169" t="s">
        <v>186</v>
      </c>
      <c r="J169" t="s">
        <v>229</v>
      </c>
      <c r="K169">
        <v>0.63</v>
      </c>
      <c r="L169">
        <v>1997</v>
      </c>
      <c r="M169">
        <v>1999</v>
      </c>
      <c r="N169">
        <v>34</v>
      </c>
      <c r="O169">
        <v>94</v>
      </c>
      <c r="P169">
        <v>51</v>
      </c>
      <c r="R169" t="s">
        <v>232</v>
      </c>
      <c r="S169">
        <v>4.1000000000000002E-2</v>
      </c>
      <c r="T169">
        <v>1.748043218551935E-2</v>
      </c>
      <c r="U169">
        <v>6.4519567814480649E-2</v>
      </c>
      <c r="V169">
        <v>1.2E-2</v>
      </c>
      <c r="W169">
        <v>33</v>
      </c>
      <c r="X169">
        <v>742</v>
      </c>
      <c r="Y169" t="s">
        <v>236</v>
      </c>
      <c r="Z169">
        <v>1</v>
      </c>
      <c r="AA169">
        <v>0</v>
      </c>
      <c r="AB169">
        <v>0</v>
      </c>
      <c r="AC169">
        <v>95</v>
      </c>
      <c r="AD169" t="s">
        <v>239</v>
      </c>
      <c r="AE169" t="s">
        <v>241</v>
      </c>
      <c r="AF169" t="s">
        <v>243</v>
      </c>
      <c r="AH169" t="s">
        <v>248</v>
      </c>
      <c r="AI169" t="s">
        <v>258</v>
      </c>
      <c r="AJ169" t="s">
        <v>308</v>
      </c>
      <c r="AK169" t="s">
        <v>412</v>
      </c>
      <c r="AL169" t="s">
        <v>360</v>
      </c>
      <c r="AM169" t="s">
        <v>375</v>
      </c>
      <c r="AN169">
        <v>0</v>
      </c>
      <c r="AO169">
        <v>1</v>
      </c>
      <c r="AP169">
        <v>1</v>
      </c>
      <c r="AQ169">
        <v>0</v>
      </c>
      <c r="AR169">
        <v>0</v>
      </c>
      <c r="AS169">
        <v>0</v>
      </c>
      <c r="AT169">
        <v>0</v>
      </c>
      <c r="AU169">
        <v>0</v>
      </c>
      <c r="AV169">
        <v>1</v>
      </c>
      <c r="AW169">
        <v>0</v>
      </c>
      <c r="AX169">
        <v>0</v>
      </c>
      <c r="AY169">
        <v>0</v>
      </c>
      <c r="AZ169">
        <v>0</v>
      </c>
      <c r="BA169">
        <v>0</v>
      </c>
      <c r="BB169">
        <v>0</v>
      </c>
      <c r="BC169">
        <v>0</v>
      </c>
    </row>
    <row r="170" spans="1:55" x14ac:dyDescent="0.3">
      <c r="A170">
        <v>49</v>
      </c>
      <c r="B170" t="s">
        <v>74</v>
      </c>
      <c r="C170" t="s">
        <v>127</v>
      </c>
      <c r="D170" t="s">
        <v>126</v>
      </c>
      <c r="E170" t="s">
        <v>138</v>
      </c>
      <c r="F170" t="s">
        <v>148</v>
      </c>
      <c r="G170">
        <v>543</v>
      </c>
      <c r="H170">
        <v>1</v>
      </c>
      <c r="I170" t="s">
        <v>186</v>
      </c>
      <c r="J170" t="s">
        <v>229</v>
      </c>
      <c r="K170">
        <v>0.63</v>
      </c>
      <c r="L170">
        <v>1997</v>
      </c>
      <c r="M170">
        <v>1999</v>
      </c>
      <c r="N170">
        <v>34</v>
      </c>
      <c r="O170">
        <v>94</v>
      </c>
      <c r="P170">
        <v>51</v>
      </c>
      <c r="R170" t="s">
        <v>232</v>
      </c>
      <c r="S170">
        <v>5.0999999999999997E-2</v>
      </c>
      <c r="T170">
        <v>2.9440396170059401E-2</v>
      </c>
      <c r="U170">
        <v>7.2559603829940589E-2</v>
      </c>
      <c r="V170">
        <v>1.0999999999999999E-2</v>
      </c>
      <c r="W170">
        <v>54</v>
      </c>
      <c r="X170">
        <v>742</v>
      </c>
      <c r="Y170" t="s">
        <v>236</v>
      </c>
      <c r="Z170">
        <v>1</v>
      </c>
      <c r="AA170">
        <v>0</v>
      </c>
      <c r="AB170">
        <v>0</v>
      </c>
      <c r="AC170">
        <v>95</v>
      </c>
      <c r="AD170" t="s">
        <v>239</v>
      </c>
      <c r="AE170" t="s">
        <v>241</v>
      </c>
      <c r="AF170" t="s">
        <v>243</v>
      </c>
      <c r="AH170" t="s">
        <v>247</v>
      </c>
      <c r="AI170" t="s">
        <v>262</v>
      </c>
      <c r="AJ170" t="s">
        <v>306</v>
      </c>
      <c r="AK170" t="s">
        <v>411</v>
      </c>
      <c r="AL170" t="s">
        <v>360</v>
      </c>
      <c r="AM170" t="s">
        <v>375</v>
      </c>
      <c r="AN170">
        <v>1</v>
      </c>
      <c r="AO170">
        <v>0</v>
      </c>
      <c r="AP170">
        <v>0</v>
      </c>
      <c r="AQ170">
        <v>0</v>
      </c>
      <c r="AR170">
        <v>0</v>
      </c>
      <c r="AS170">
        <v>0</v>
      </c>
      <c r="AT170">
        <v>0</v>
      </c>
      <c r="AU170">
        <v>0</v>
      </c>
      <c r="AV170">
        <v>1</v>
      </c>
      <c r="AW170">
        <v>0</v>
      </c>
      <c r="AX170">
        <v>0</v>
      </c>
      <c r="AY170">
        <v>0</v>
      </c>
      <c r="AZ170">
        <v>0</v>
      </c>
      <c r="BA170">
        <v>0</v>
      </c>
      <c r="BB170">
        <v>0</v>
      </c>
      <c r="BC170">
        <v>0</v>
      </c>
    </row>
    <row r="171" spans="1:55" x14ac:dyDescent="0.3">
      <c r="A171">
        <v>49</v>
      </c>
      <c r="B171" t="s">
        <v>74</v>
      </c>
      <c r="C171" t="s">
        <v>127</v>
      </c>
      <c r="D171" t="s">
        <v>126</v>
      </c>
      <c r="E171" t="s">
        <v>138</v>
      </c>
      <c r="F171" t="s">
        <v>148</v>
      </c>
      <c r="G171">
        <v>543</v>
      </c>
      <c r="H171">
        <v>1</v>
      </c>
      <c r="I171" t="s">
        <v>186</v>
      </c>
      <c r="J171" t="s">
        <v>229</v>
      </c>
      <c r="K171">
        <v>0.63</v>
      </c>
      <c r="L171">
        <v>1997</v>
      </c>
      <c r="M171">
        <v>1999</v>
      </c>
      <c r="N171">
        <v>34</v>
      </c>
      <c r="O171">
        <v>94</v>
      </c>
      <c r="P171">
        <v>51</v>
      </c>
      <c r="R171" t="s">
        <v>232</v>
      </c>
      <c r="S171">
        <v>2.3E-2</v>
      </c>
      <c r="T171">
        <v>0</v>
      </c>
      <c r="U171">
        <v>6.8079171644421232E-2</v>
      </c>
      <c r="V171">
        <v>2.3E-2</v>
      </c>
      <c r="W171">
        <v>20</v>
      </c>
      <c r="X171">
        <v>742</v>
      </c>
      <c r="Y171" t="s">
        <v>236</v>
      </c>
      <c r="Z171">
        <v>1</v>
      </c>
      <c r="AA171">
        <v>0</v>
      </c>
      <c r="AB171">
        <v>0</v>
      </c>
      <c r="AC171">
        <v>95</v>
      </c>
      <c r="AD171" t="s">
        <v>239</v>
      </c>
      <c r="AE171" t="s">
        <v>241</v>
      </c>
      <c r="AF171" t="s">
        <v>243</v>
      </c>
      <c r="AH171" t="s">
        <v>252</v>
      </c>
      <c r="AI171" t="s">
        <v>258</v>
      </c>
      <c r="AJ171" t="s">
        <v>306</v>
      </c>
      <c r="AK171" t="s">
        <v>412</v>
      </c>
      <c r="AL171" t="s">
        <v>360</v>
      </c>
      <c r="AM171" t="s">
        <v>375</v>
      </c>
      <c r="AN171">
        <v>1</v>
      </c>
      <c r="AO171">
        <v>1</v>
      </c>
      <c r="AP171">
        <v>1</v>
      </c>
      <c r="AQ171">
        <v>0</v>
      </c>
      <c r="AR171">
        <v>0</v>
      </c>
      <c r="AS171">
        <v>0</v>
      </c>
      <c r="AT171">
        <v>0</v>
      </c>
      <c r="AU171">
        <v>0</v>
      </c>
      <c r="AV171">
        <v>1</v>
      </c>
      <c r="AW171">
        <v>0</v>
      </c>
      <c r="AX171">
        <v>0</v>
      </c>
      <c r="AY171">
        <v>0</v>
      </c>
      <c r="AZ171">
        <v>0</v>
      </c>
      <c r="BA171">
        <v>0</v>
      </c>
      <c r="BB171">
        <v>0</v>
      </c>
      <c r="BC171">
        <v>0</v>
      </c>
    </row>
    <row r="172" spans="1:55" x14ac:dyDescent="0.3">
      <c r="A172">
        <v>50</v>
      </c>
      <c r="B172" t="s">
        <v>53</v>
      </c>
      <c r="C172" t="s">
        <v>106</v>
      </c>
      <c r="D172" t="s">
        <v>130</v>
      </c>
      <c r="E172" t="s">
        <v>138</v>
      </c>
      <c r="F172" t="s">
        <v>148</v>
      </c>
      <c r="G172">
        <v>543</v>
      </c>
      <c r="H172">
        <v>1</v>
      </c>
      <c r="I172" t="s">
        <v>186</v>
      </c>
      <c r="J172" t="s">
        <v>229</v>
      </c>
      <c r="K172">
        <f>497/(265+497)</f>
        <v>0.65223097112860895</v>
      </c>
      <c r="L172">
        <v>1981</v>
      </c>
      <c r="M172">
        <v>1981</v>
      </c>
      <c r="N172">
        <v>18</v>
      </c>
      <c r="O172">
        <v>99</v>
      </c>
      <c r="R172" t="s">
        <v>232</v>
      </c>
      <c r="S172">
        <v>5.8999999999999997E-2</v>
      </c>
      <c r="T172">
        <v>5.1647966412797897E-2</v>
      </c>
      <c r="U172">
        <v>6.7324292072957939E-2</v>
      </c>
      <c r="V172">
        <v>4.0035494016354553E-3</v>
      </c>
      <c r="W172">
        <v>205.37899999999999</v>
      </c>
      <c r="X172">
        <v>3481</v>
      </c>
      <c r="Y172" t="s">
        <v>236</v>
      </c>
      <c r="Z172">
        <v>1</v>
      </c>
      <c r="AA172">
        <v>0</v>
      </c>
      <c r="AB172">
        <v>0</v>
      </c>
      <c r="AC172">
        <v>95</v>
      </c>
      <c r="AD172" t="s">
        <v>239</v>
      </c>
      <c r="AE172" t="s">
        <v>241</v>
      </c>
      <c r="AF172" t="s">
        <v>243</v>
      </c>
      <c r="AH172" t="s">
        <v>254</v>
      </c>
      <c r="AI172" t="s">
        <v>262</v>
      </c>
      <c r="AJ172" t="s">
        <v>295</v>
      </c>
      <c r="AK172" t="s">
        <v>323</v>
      </c>
      <c r="AL172" t="s">
        <v>341</v>
      </c>
      <c r="AM172" t="s">
        <v>375</v>
      </c>
      <c r="AN172">
        <v>0</v>
      </c>
      <c r="AO172">
        <v>0</v>
      </c>
      <c r="AP172">
        <v>0</v>
      </c>
      <c r="AQ172">
        <v>0</v>
      </c>
      <c r="AR172">
        <v>0</v>
      </c>
      <c r="AS172">
        <v>0</v>
      </c>
      <c r="AT172">
        <v>0</v>
      </c>
      <c r="AU172">
        <v>0</v>
      </c>
      <c r="AV172">
        <v>1</v>
      </c>
      <c r="AW172">
        <v>0</v>
      </c>
      <c r="AX172">
        <v>0</v>
      </c>
      <c r="AY172">
        <v>0</v>
      </c>
      <c r="AZ172">
        <v>0</v>
      </c>
      <c r="BA172">
        <v>0</v>
      </c>
      <c r="BB172">
        <v>0</v>
      </c>
      <c r="BC172">
        <v>0</v>
      </c>
    </row>
    <row r="173" spans="1:55" x14ac:dyDescent="0.3">
      <c r="A173">
        <v>50</v>
      </c>
      <c r="B173" t="s">
        <v>53</v>
      </c>
      <c r="C173" t="s">
        <v>106</v>
      </c>
      <c r="D173" t="s">
        <v>130</v>
      </c>
      <c r="E173" t="s">
        <v>138</v>
      </c>
      <c r="F173" t="s">
        <v>148</v>
      </c>
      <c r="G173">
        <v>543</v>
      </c>
      <c r="H173">
        <v>1</v>
      </c>
      <c r="I173" t="s">
        <v>186</v>
      </c>
      <c r="J173" t="s">
        <v>229</v>
      </c>
      <c r="K173">
        <f>497/(265+497)</f>
        <v>0.65223097112860895</v>
      </c>
      <c r="L173">
        <v>1981</v>
      </c>
      <c r="M173">
        <v>1981</v>
      </c>
      <c r="N173">
        <v>18</v>
      </c>
      <c r="O173">
        <v>99</v>
      </c>
      <c r="R173" t="s">
        <v>232</v>
      </c>
      <c r="S173">
        <v>1.4999999999999999E-2</v>
      </c>
      <c r="T173">
        <v>1.1463659759732009E-2</v>
      </c>
      <c r="U173">
        <v>1.96056041078226E-2</v>
      </c>
      <c r="V173">
        <v>2.0793569315664799E-3</v>
      </c>
      <c r="W173">
        <v>52.215000000000003</v>
      </c>
      <c r="X173">
        <v>3481</v>
      </c>
      <c r="Y173" t="s">
        <v>236</v>
      </c>
      <c r="Z173">
        <v>1</v>
      </c>
      <c r="AA173">
        <v>0</v>
      </c>
      <c r="AB173">
        <v>0</v>
      </c>
      <c r="AC173">
        <v>95</v>
      </c>
      <c r="AD173" t="s">
        <v>239</v>
      </c>
      <c r="AE173" t="s">
        <v>241</v>
      </c>
      <c r="AF173" t="s">
        <v>243</v>
      </c>
      <c r="AH173" t="s">
        <v>255</v>
      </c>
      <c r="AI173" t="s">
        <v>258</v>
      </c>
      <c r="AJ173" t="s">
        <v>295</v>
      </c>
      <c r="AK173" t="s">
        <v>325</v>
      </c>
      <c r="AL173" t="s">
        <v>341</v>
      </c>
      <c r="AM173" t="s">
        <v>375</v>
      </c>
      <c r="AN173">
        <v>0</v>
      </c>
      <c r="AO173">
        <v>1</v>
      </c>
      <c r="AP173">
        <v>1</v>
      </c>
      <c r="AQ173">
        <v>0</v>
      </c>
      <c r="AR173">
        <v>0</v>
      </c>
      <c r="AS173">
        <v>0</v>
      </c>
      <c r="AT173">
        <v>0</v>
      </c>
      <c r="AU173">
        <v>0</v>
      </c>
      <c r="AV173">
        <v>1</v>
      </c>
      <c r="AW173">
        <v>0</v>
      </c>
      <c r="AX173">
        <v>0</v>
      </c>
      <c r="AY173">
        <v>0</v>
      </c>
      <c r="AZ173">
        <v>0</v>
      </c>
      <c r="BA173">
        <v>0</v>
      </c>
      <c r="BB173">
        <v>0</v>
      </c>
      <c r="BC173">
        <v>0</v>
      </c>
    </row>
    <row r="174" spans="1:55" x14ac:dyDescent="0.3">
      <c r="A174">
        <v>50</v>
      </c>
      <c r="B174" t="s">
        <v>53</v>
      </c>
      <c r="C174" t="s">
        <v>106</v>
      </c>
      <c r="D174" t="s">
        <v>130</v>
      </c>
      <c r="E174" t="s">
        <v>138</v>
      </c>
      <c r="F174" t="s">
        <v>148</v>
      </c>
      <c r="G174">
        <v>543</v>
      </c>
      <c r="H174">
        <v>1</v>
      </c>
      <c r="I174" t="s">
        <v>186</v>
      </c>
      <c r="J174" t="s">
        <v>229</v>
      </c>
      <c r="K174">
        <f>497/(265+497)</f>
        <v>0.65223097112860895</v>
      </c>
      <c r="L174">
        <v>1981</v>
      </c>
      <c r="M174">
        <v>1981</v>
      </c>
      <c r="N174">
        <v>18</v>
      </c>
      <c r="O174">
        <v>99</v>
      </c>
      <c r="R174" t="s">
        <v>232</v>
      </c>
      <c r="S174">
        <v>4.0000000000000001E-3</v>
      </c>
      <c r="T174">
        <v>2.3809685875923162E-3</v>
      </c>
      <c r="U174">
        <v>6.7125466254119963E-3</v>
      </c>
      <c r="V174">
        <v>1.106234141685547E-3</v>
      </c>
      <c r="W174">
        <v>13.923999999999999</v>
      </c>
      <c r="X174">
        <v>3481</v>
      </c>
      <c r="Y174" t="s">
        <v>236</v>
      </c>
      <c r="Z174">
        <v>1</v>
      </c>
      <c r="AA174">
        <v>0</v>
      </c>
      <c r="AB174">
        <v>0</v>
      </c>
      <c r="AC174">
        <v>95</v>
      </c>
      <c r="AD174" t="s">
        <v>239</v>
      </c>
      <c r="AE174" t="s">
        <v>241</v>
      </c>
      <c r="AF174" t="s">
        <v>243</v>
      </c>
      <c r="AH174" t="s">
        <v>256</v>
      </c>
      <c r="AI174" t="s">
        <v>253</v>
      </c>
      <c r="AJ174" t="s">
        <v>295</v>
      </c>
      <c r="AK174" t="s">
        <v>325</v>
      </c>
      <c r="AL174" t="s">
        <v>341</v>
      </c>
      <c r="AM174" t="s">
        <v>375</v>
      </c>
      <c r="AN174">
        <v>0</v>
      </c>
      <c r="AO174">
        <v>1</v>
      </c>
      <c r="AP174">
        <v>0</v>
      </c>
      <c r="AQ174">
        <v>1</v>
      </c>
      <c r="AR174">
        <v>0</v>
      </c>
      <c r="AS174">
        <v>0</v>
      </c>
      <c r="AT174">
        <v>0</v>
      </c>
      <c r="AU174">
        <v>0</v>
      </c>
      <c r="AV174">
        <v>1</v>
      </c>
      <c r="AW174">
        <v>0</v>
      </c>
      <c r="AX174">
        <v>0</v>
      </c>
      <c r="AY174">
        <v>0</v>
      </c>
      <c r="AZ174">
        <v>0</v>
      </c>
      <c r="BA174">
        <v>0</v>
      </c>
      <c r="BB174">
        <v>0</v>
      </c>
      <c r="BC174">
        <v>0</v>
      </c>
    </row>
    <row r="175" spans="1:55" x14ac:dyDescent="0.3">
      <c r="A175">
        <v>51</v>
      </c>
      <c r="B175" t="s">
        <v>392</v>
      </c>
      <c r="C175">
        <v>7</v>
      </c>
      <c r="D175">
        <v>1</v>
      </c>
      <c r="E175" t="s">
        <v>137</v>
      </c>
      <c r="F175" t="s">
        <v>390</v>
      </c>
      <c r="G175">
        <v>4775</v>
      </c>
      <c r="H175">
        <v>1</v>
      </c>
      <c r="I175" t="s">
        <v>391</v>
      </c>
      <c r="J175" t="s">
        <v>229</v>
      </c>
      <c r="L175">
        <v>2005</v>
      </c>
      <c r="M175">
        <v>2007</v>
      </c>
      <c r="N175">
        <v>18</v>
      </c>
      <c r="O175">
        <v>99</v>
      </c>
      <c r="R175" t="s">
        <v>232</v>
      </c>
      <c r="S175">
        <v>6.8000000000000005E-2</v>
      </c>
      <c r="T175">
        <v>6.6040036015459949E-2</v>
      </c>
      <c r="U175">
        <v>6.9959963984540061E-2</v>
      </c>
      <c r="V175">
        <v>1E-3</v>
      </c>
      <c r="W175">
        <v>342.51600000000002</v>
      </c>
      <c r="X175">
        <v>5037</v>
      </c>
      <c r="Y175" t="s">
        <v>236</v>
      </c>
      <c r="Z175">
        <v>1</v>
      </c>
      <c r="AA175">
        <v>0</v>
      </c>
      <c r="AB175">
        <v>0</v>
      </c>
      <c r="AC175">
        <v>95</v>
      </c>
      <c r="AD175" t="s">
        <v>239</v>
      </c>
      <c r="AE175" t="s">
        <v>241</v>
      </c>
      <c r="AF175" t="s">
        <v>243</v>
      </c>
      <c r="AH175" t="s">
        <v>262</v>
      </c>
      <c r="AI175" t="s">
        <v>262</v>
      </c>
      <c r="AJ175" t="s">
        <v>290</v>
      </c>
      <c r="AK175" t="s">
        <v>323</v>
      </c>
      <c r="AL175" t="s">
        <v>335</v>
      </c>
      <c r="AM175" t="s">
        <v>375</v>
      </c>
      <c r="AN175">
        <v>0</v>
      </c>
      <c r="AO175">
        <v>0</v>
      </c>
      <c r="AP175">
        <v>0</v>
      </c>
      <c r="AQ175">
        <v>0</v>
      </c>
      <c r="AR175">
        <v>0</v>
      </c>
      <c r="AS175">
        <v>0</v>
      </c>
      <c r="AT175">
        <v>0</v>
      </c>
      <c r="AU175">
        <v>0</v>
      </c>
      <c r="AV175">
        <v>0</v>
      </c>
      <c r="AW175">
        <v>1</v>
      </c>
      <c r="AX175">
        <v>0</v>
      </c>
      <c r="AY175">
        <v>0</v>
      </c>
      <c r="AZ175">
        <v>0</v>
      </c>
      <c r="BA175">
        <v>0</v>
      </c>
      <c r="BB175">
        <v>0</v>
      </c>
      <c r="BC175">
        <v>0</v>
      </c>
    </row>
    <row r="176" spans="1:55" x14ac:dyDescent="0.3">
      <c r="A176">
        <v>52</v>
      </c>
      <c r="B176" t="s">
        <v>58</v>
      </c>
      <c r="C176" t="s">
        <v>110</v>
      </c>
      <c r="D176" t="s">
        <v>130</v>
      </c>
      <c r="E176" t="s">
        <v>137</v>
      </c>
      <c r="F176" t="s">
        <v>149</v>
      </c>
      <c r="G176">
        <v>101</v>
      </c>
      <c r="H176">
        <v>1</v>
      </c>
      <c r="I176" t="s">
        <v>191</v>
      </c>
      <c r="J176" t="s">
        <v>229</v>
      </c>
      <c r="K176">
        <f>1928/(3258)</f>
        <v>0.59177409453652552</v>
      </c>
      <c r="L176">
        <v>1983</v>
      </c>
      <c r="M176">
        <v>1986</v>
      </c>
      <c r="N176">
        <v>18</v>
      </c>
      <c r="O176">
        <v>24</v>
      </c>
      <c r="R176" t="s">
        <v>232</v>
      </c>
      <c r="S176">
        <v>3.2000000000000001E-2</v>
      </c>
      <c r="T176">
        <v>1.6320288123679569E-2</v>
      </c>
      <c r="U176">
        <v>4.7679711876320433E-2</v>
      </c>
      <c r="V176">
        <v>8.0000000000000002E-3</v>
      </c>
      <c r="W176">
        <v>16</v>
      </c>
      <c r="X176">
        <v>576.66599999999994</v>
      </c>
      <c r="Y176" t="s">
        <v>236</v>
      </c>
      <c r="Z176">
        <v>1</v>
      </c>
      <c r="AA176">
        <v>0</v>
      </c>
      <c r="AB176">
        <v>0</v>
      </c>
      <c r="AC176">
        <v>95</v>
      </c>
      <c r="AD176" t="s">
        <v>239</v>
      </c>
      <c r="AE176" t="s">
        <v>241</v>
      </c>
      <c r="AF176" t="s">
        <v>244</v>
      </c>
      <c r="AH176" t="s">
        <v>267</v>
      </c>
      <c r="AI176" t="s">
        <v>258</v>
      </c>
      <c r="AJ176" t="s">
        <v>301</v>
      </c>
      <c r="AK176" t="s">
        <v>324</v>
      </c>
      <c r="AL176" t="s">
        <v>343</v>
      </c>
      <c r="AM176" t="s">
        <v>375</v>
      </c>
      <c r="AN176">
        <v>0</v>
      </c>
      <c r="AO176">
        <v>1</v>
      </c>
      <c r="AP176">
        <v>1</v>
      </c>
      <c r="AQ176">
        <v>0</v>
      </c>
      <c r="AR176">
        <v>0</v>
      </c>
      <c r="AS176">
        <v>0</v>
      </c>
      <c r="AT176">
        <v>0</v>
      </c>
      <c r="AU176">
        <v>0</v>
      </c>
      <c r="AV176">
        <v>0</v>
      </c>
      <c r="AW176">
        <v>0</v>
      </c>
      <c r="AX176">
        <v>1</v>
      </c>
      <c r="AY176">
        <v>0</v>
      </c>
      <c r="AZ176">
        <v>0</v>
      </c>
      <c r="BA176">
        <v>0</v>
      </c>
      <c r="BB176">
        <v>0</v>
      </c>
      <c r="BC176">
        <v>0</v>
      </c>
    </row>
    <row r="177" spans="1:55" x14ac:dyDescent="0.3">
      <c r="A177">
        <v>52</v>
      </c>
      <c r="B177" t="s">
        <v>58</v>
      </c>
      <c r="C177" t="s">
        <v>110</v>
      </c>
      <c r="D177" t="s">
        <v>130</v>
      </c>
      <c r="E177" t="s">
        <v>137</v>
      </c>
      <c r="F177" t="s">
        <v>149</v>
      </c>
      <c r="G177">
        <v>101</v>
      </c>
      <c r="H177">
        <v>1</v>
      </c>
      <c r="I177" t="s">
        <v>191</v>
      </c>
      <c r="J177" t="s">
        <v>229</v>
      </c>
      <c r="K177">
        <f>1928/(3258)</f>
        <v>0.59177409453652552</v>
      </c>
      <c r="L177">
        <v>1983</v>
      </c>
      <c r="M177">
        <v>1986</v>
      </c>
      <c r="N177">
        <v>25</v>
      </c>
      <c r="O177">
        <v>34</v>
      </c>
      <c r="R177" t="s">
        <v>232</v>
      </c>
      <c r="S177">
        <v>2.3E-2</v>
      </c>
      <c r="T177">
        <v>1.320018007729973E-2</v>
      </c>
      <c r="U177">
        <v>3.2799819922700271E-2</v>
      </c>
      <c r="V177">
        <v>5.0000000000000001E-3</v>
      </c>
      <c r="W177">
        <v>20</v>
      </c>
      <c r="X177">
        <v>1013.2380000000001</v>
      </c>
      <c r="Y177" t="s">
        <v>236</v>
      </c>
      <c r="Z177">
        <v>1</v>
      </c>
      <c r="AA177">
        <v>0</v>
      </c>
      <c r="AB177">
        <v>0</v>
      </c>
      <c r="AC177">
        <v>95</v>
      </c>
      <c r="AD177" t="s">
        <v>239</v>
      </c>
      <c r="AE177" t="s">
        <v>241</v>
      </c>
      <c r="AF177" t="s">
        <v>244</v>
      </c>
      <c r="AH177" t="s">
        <v>267</v>
      </c>
      <c r="AI177" t="s">
        <v>258</v>
      </c>
      <c r="AJ177" t="s">
        <v>301</v>
      </c>
      <c r="AK177" t="s">
        <v>324</v>
      </c>
      <c r="AL177" t="s">
        <v>343</v>
      </c>
      <c r="AM177" t="s">
        <v>375</v>
      </c>
      <c r="AN177">
        <v>0</v>
      </c>
      <c r="AO177">
        <v>1</v>
      </c>
      <c r="AP177">
        <v>1</v>
      </c>
      <c r="AQ177">
        <v>0</v>
      </c>
      <c r="AR177">
        <v>0</v>
      </c>
      <c r="AS177">
        <v>0</v>
      </c>
      <c r="AT177">
        <v>0</v>
      </c>
      <c r="AU177">
        <v>0</v>
      </c>
      <c r="AV177">
        <v>0</v>
      </c>
      <c r="AW177">
        <v>0</v>
      </c>
      <c r="AX177">
        <v>1</v>
      </c>
      <c r="AY177">
        <v>0</v>
      </c>
      <c r="AZ177">
        <v>0</v>
      </c>
      <c r="BA177">
        <v>0</v>
      </c>
      <c r="BB177">
        <v>0</v>
      </c>
      <c r="BC177">
        <v>0</v>
      </c>
    </row>
    <row r="178" spans="1:55" x14ac:dyDescent="0.3">
      <c r="A178">
        <v>52</v>
      </c>
      <c r="B178" t="s">
        <v>58</v>
      </c>
      <c r="C178" t="s">
        <v>110</v>
      </c>
      <c r="D178" t="s">
        <v>130</v>
      </c>
      <c r="E178" t="s">
        <v>137</v>
      </c>
      <c r="F178" t="s">
        <v>149</v>
      </c>
      <c r="G178">
        <v>101</v>
      </c>
      <c r="H178">
        <v>1</v>
      </c>
      <c r="I178" t="s">
        <v>191</v>
      </c>
      <c r="J178" t="s">
        <v>229</v>
      </c>
      <c r="K178">
        <f>1928/(3258)</f>
        <v>0.59177409453652552</v>
      </c>
      <c r="L178">
        <v>1983</v>
      </c>
      <c r="M178">
        <v>1986</v>
      </c>
      <c r="N178">
        <v>35</v>
      </c>
      <c r="O178">
        <v>44</v>
      </c>
      <c r="R178" t="s">
        <v>232</v>
      </c>
      <c r="S178">
        <v>1.2999999999999999E-2</v>
      </c>
      <c r="T178">
        <v>1.240216092759676E-3</v>
      </c>
      <c r="U178">
        <v>2.4759783907240328E-2</v>
      </c>
      <c r="V178">
        <v>6.0000000000000001E-3</v>
      </c>
      <c r="W178">
        <v>6</v>
      </c>
      <c r="X178">
        <v>583.18200000000002</v>
      </c>
      <c r="Y178" t="s">
        <v>236</v>
      </c>
      <c r="Z178">
        <v>1</v>
      </c>
      <c r="AA178">
        <v>0</v>
      </c>
      <c r="AB178">
        <v>0</v>
      </c>
      <c r="AC178">
        <v>95</v>
      </c>
      <c r="AD178" t="s">
        <v>239</v>
      </c>
      <c r="AE178" t="s">
        <v>241</v>
      </c>
      <c r="AF178" t="s">
        <v>244</v>
      </c>
      <c r="AH178" t="s">
        <v>267</v>
      </c>
      <c r="AI178" t="s">
        <v>258</v>
      </c>
      <c r="AJ178" t="s">
        <v>301</v>
      </c>
      <c r="AK178" t="s">
        <v>324</v>
      </c>
      <c r="AL178" t="s">
        <v>343</v>
      </c>
      <c r="AM178" t="s">
        <v>375</v>
      </c>
      <c r="AN178">
        <v>0</v>
      </c>
      <c r="AO178">
        <v>1</v>
      </c>
      <c r="AP178">
        <v>1</v>
      </c>
      <c r="AQ178">
        <v>0</v>
      </c>
      <c r="AR178">
        <v>0</v>
      </c>
      <c r="AS178">
        <v>0</v>
      </c>
      <c r="AT178">
        <v>0</v>
      </c>
      <c r="AU178">
        <v>0</v>
      </c>
      <c r="AV178">
        <v>0</v>
      </c>
      <c r="AW178">
        <v>0</v>
      </c>
      <c r="AX178">
        <v>1</v>
      </c>
      <c r="AY178">
        <v>0</v>
      </c>
      <c r="AZ178">
        <v>0</v>
      </c>
      <c r="BA178">
        <v>0</v>
      </c>
      <c r="BB178">
        <v>0</v>
      </c>
      <c r="BC178">
        <v>0</v>
      </c>
    </row>
    <row r="179" spans="1:55" x14ac:dyDescent="0.3">
      <c r="A179">
        <v>52</v>
      </c>
      <c r="B179" t="s">
        <v>58</v>
      </c>
      <c r="C179" t="s">
        <v>110</v>
      </c>
      <c r="D179" t="s">
        <v>130</v>
      </c>
      <c r="E179" t="s">
        <v>137</v>
      </c>
      <c r="F179" t="s">
        <v>149</v>
      </c>
      <c r="G179">
        <v>101</v>
      </c>
      <c r="H179">
        <v>1</v>
      </c>
      <c r="I179" t="s">
        <v>191</v>
      </c>
      <c r="J179" t="s">
        <v>229</v>
      </c>
      <c r="K179">
        <f>1928/(3258)</f>
        <v>0.59177409453652552</v>
      </c>
      <c r="L179">
        <v>1983</v>
      </c>
      <c r="M179">
        <v>1986</v>
      </c>
      <c r="N179">
        <v>45</v>
      </c>
      <c r="O179">
        <v>54</v>
      </c>
      <c r="R179" t="s">
        <v>232</v>
      </c>
      <c r="S179">
        <v>8.9999999999999993E-3</v>
      </c>
      <c r="T179">
        <v>0</v>
      </c>
      <c r="U179">
        <v>1.8799819922700269E-2</v>
      </c>
      <c r="V179">
        <v>5.0000000000000001E-3</v>
      </c>
      <c r="W179">
        <v>3</v>
      </c>
      <c r="X179">
        <v>361.63799999999998</v>
      </c>
      <c r="Y179" t="s">
        <v>236</v>
      </c>
      <c r="Z179">
        <v>1</v>
      </c>
      <c r="AA179">
        <v>0</v>
      </c>
      <c r="AB179">
        <v>0</v>
      </c>
      <c r="AC179">
        <v>95</v>
      </c>
      <c r="AD179" t="s">
        <v>239</v>
      </c>
      <c r="AE179" t="s">
        <v>241</v>
      </c>
      <c r="AF179" t="s">
        <v>244</v>
      </c>
      <c r="AH179" t="s">
        <v>267</v>
      </c>
      <c r="AI179" t="s">
        <v>258</v>
      </c>
      <c r="AJ179" t="s">
        <v>301</v>
      </c>
      <c r="AK179" t="s">
        <v>324</v>
      </c>
      <c r="AL179" t="s">
        <v>343</v>
      </c>
      <c r="AM179" t="s">
        <v>375</v>
      </c>
      <c r="AN179">
        <v>0</v>
      </c>
      <c r="AO179">
        <v>1</v>
      </c>
      <c r="AP179">
        <v>1</v>
      </c>
      <c r="AQ179">
        <v>0</v>
      </c>
      <c r="AR179">
        <v>0</v>
      </c>
      <c r="AS179">
        <v>0</v>
      </c>
      <c r="AT179">
        <v>0</v>
      </c>
      <c r="AU179">
        <v>0</v>
      </c>
      <c r="AV179">
        <v>0</v>
      </c>
      <c r="AW179">
        <v>0</v>
      </c>
      <c r="AX179">
        <v>1</v>
      </c>
      <c r="AY179">
        <v>0</v>
      </c>
      <c r="AZ179">
        <v>0</v>
      </c>
      <c r="BA179">
        <v>0</v>
      </c>
      <c r="BB179">
        <v>0</v>
      </c>
      <c r="BC179">
        <v>0</v>
      </c>
    </row>
    <row r="180" spans="1:55" x14ac:dyDescent="0.3">
      <c r="A180">
        <v>52</v>
      </c>
      <c r="B180" t="s">
        <v>58</v>
      </c>
      <c r="C180" t="s">
        <v>110</v>
      </c>
      <c r="D180" t="s">
        <v>130</v>
      </c>
      <c r="E180" t="s">
        <v>137</v>
      </c>
      <c r="F180" t="s">
        <v>149</v>
      </c>
      <c r="G180">
        <v>101</v>
      </c>
      <c r="H180">
        <v>1</v>
      </c>
      <c r="I180" t="s">
        <v>191</v>
      </c>
      <c r="J180" t="s">
        <v>229</v>
      </c>
      <c r="K180">
        <f>1928/(3258)</f>
        <v>0.59177409453652552</v>
      </c>
      <c r="L180">
        <v>1983</v>
      </c>
      <c r="M180">
        <v>1986</v>
      </c>
      <c r="N180">
        <v>55</v>
      </c>
      <c r="O180">
        <v>64</v>
      </c>
      <c r="R180" t="s">
        <v>232</v>
      </c>
      <c r="S180">
        <v>3.0000000000000001E-3</v>
      </c>
      <c r="T180">
        <v>0</v>
      </c>
      <c r="U180">
        <v>8.8798919536201629E-3</v>
      </c>
      <c r="V180">
        <v>3.0000000000000001E-3</v>
      </c>
      <c r="W180">
        <v>1</v>
      </c>
      <c r="X180">
        <v>361.63799999999998</v>
      </c>
      <c r="Y180" t="s">
        <v>236</v>
      </c>
      <c r="Z180">
        <v>1</v>
      </c>
      <c r="AA180">
        <v>0</v>
      </c>
      <c r="AB180">
        <v>0</v>
      </c>
      <c r="AC180">
        <v>95</v>
      </c>
      <c r="AD180" t="s">
        <v>239</v>
      </c>
      <c r="AE180" t="s">
        <v>241</v>
      </c>
      <c r="AF180" t="s">
        <v>244</v>
      </c>
      <c r="AH180" t="s">
        <v>267</v>
      </c>
      <c r="AI180" t="s">
        <v>258</v>
      </c>
      <c r="AJ180" t="s">
        <v>301</v>
      </c>
      <c r="AK180" t="s">
        <v>324</v>
      </c>
      <c r="AL180" t="s">
        <v>343</v>
      </c>
      <c r="AM180" t="s">
        <v>375</v>
      </c>
      <c r="AN180">
        <v>0</v>
      </c>
      <c r="AO180">
        <v>1</v>
      </c>
      <c r="AP180">
        <v>1</v>
      </c>
      <c r="AQ180">
        <v>0</v>
      </c>
      <c r="AR180">
        <v>0</v>
      </c>
      <c r="AS180">
        <v>0</v>
      </c>
      <c r="AT180">
        <v>0</v>
      </c>
      <c r="AU180">
        <v>0</v>
      </c>
      <c r="AV180">
        <v>0</v>
      </c>
      <c r="AW180">
        <v>0</v>
      </c>
      <c r="AX180">
        <v>1</v>
      </c>
      <c r="AY180">
        <v>0</v>
      </c>
      <c r="AZ180">
        <v>0</v>
      </c>
      <c r="BA180">
        <v>0</v>
      </c>
      <c r="BB180">
        <v>0</v>
      </c>
      <c r="BC180">
        <v>0</v>
      </c>
    </row>
    <row r="181" spans="1:55" x14ac:dyDescent="0.3">
      <c r="A181">
        <v>52</v>
      </c>
      <c r="B181" t="s">
        <v>58</v>
      </c>
      <c r="C181" t="s">
        <v>110</v>
      </c>
      <c r="D181" t="s">
        <v>130</v>
      </c>
      <c r="E181" t="s">
        <v>137</v>
      </c>
      <c r="F181" t="s">
        <v>149</v>
      </c>
      <c r="G181">
        <v>101</v>
      </c>
      <c r="H181">
        <v>1</v>
      </c>
      <c r="I181" t="s">
        <v>191</v>
      </c>
      <c r="J181" t="s">
        <v>229</v>
      </c>
      <c r="K181">
        <f>1928/(3258)</f>
        <v>0.59177409453652552</v>
      </c>
      <c r="L181">
        <v>1983</v>
      </c>
      <c r="M181">
        <v>1986</v>
      </c>
      <c r="N181">
        <v>65</v>
      </c>
      <c r="O181">
        <v>99</v>
      </c>
      <c r="R181" t="s">
        <v>232</v>
      </c>
      <c r="S181">
        <v>0</v>
      </c>
      <c r="T181">
        <v>0</v>
      </c>
      <c r="U181">
        <v>5.3594771202273087E-3</v>
      </c>
      <c r="V181">
        <v>2.7344773488197638E-3</v>
      </c>
      <c r="W181">
        <v>0</v>
      </c>
      <c r="X181">
        <v>358.38</v>
      </c>
      <c r="Y181" t="s">
        <v>236</v>
      </c>
      <c r="Z181">
        <v>1</v>
      </c>
      <c r="AA181">
        <v>0</v>
      </c>
      <c r="AB181">
        <v>0</v>
      </c>
      <c r="AC181">
        <v>95</v>
      </c>
      <c r="AD181" t="s">
        <v>239</v>
      </c>
      <c r="AE181" t="s">
        <v>241</v>
      </c>
      <c r="AF181" t="s">
        <v>244</v>
      </c>
      <c r="AH181" t="s">
        <v>267</v>
      </c>
      <c r="AI181" t="s">
        <v>258</v>
      </c>
      <c r="AJ181" t="s">
        <v>301</v>
      </c>
      <c r="AK181" t="s">
        <v>324</v>
      </c>
      <c r="AL181" t="s">
        <v>343</v>
      </c>
      <c r="AM181" t="s">
        <v>375</v>
      </c>
      <c r="AN181">
        <v>0</v>
      </c>
      <c r="AO181">
        <v>1</v>
      </c>
      <c r="AP181">
        <v>1</v>
      </c>
      <c r="AQ181">
        <v>0</v>
      </c>
      <c r="AR181">
        <v>0</v>
      </c>
      <c r="AS181">
        <v>0</v>
      </c>
      <c r="AT181">
        <v>0</v>
      </c>
      <c r="AU181">
        <v>0</v>
      </c>
      <c r="AV181">
        <v>0</v>
      </c>
      <c r="AW181">
        <v>0</v>
      </c>
      <c r="AX181">
        <v>1</v>
      </c>
      <c r="AY181">
        <v>0</v>
      </c>
      <c r="AZ181">
        <v>0</v>
      </c>
      <c r="BA181">
        <v>0</v>
      </c>
      <c r="BB181">
        <v>0</v>
      </c>
      <c r="BC181">
        <v>0</v>
      </c>
    </row>
    <row r="182" spans="1:55" x14ac:dyDescent="0.3">
      <c r="A182">
        <v>53</v>
      </c>
      <c r="B182" t="s">
        <v>72</v>
      </c>
      <c r="C182" t="s">
        <v>125</v>
      </c>
      <c r="D182" t="s">
        <v>130</v>
      </c>
      <c r="E182" t="s">
        <v>138</v>
      </c>
      <c r="F182" t="s">
        <v>145</v>
      </c>
      <c r="G182">
        <v>556</v>
      </c>
      <c r="H182">
        <v>1</v>
      </c>
      <c r="I182" t="s">
        <v>199</v>
      </c>
      <c r="J182" t="s">
        <v>229</v>
      </c>
      <c r="K182">
        <v>0.52200000000000002</v>
      </c>
      <c r="L182">
        <v>1983</v>
      </c>
      <c r="M182">
        <v>1984</v>
      </c>
      <c r="N182">
        <v>19</v>
      </c>
      <c r="O182">
        <v>24</v>
      </c>
      <c r="R182" t="s">
        <v>232</v>
      </c>
      <c r="S182">
        <v>2.0668700382686301E-2</v>
      </c>
      <c r="T182">
        <v>9.954219566855823E-3</v>
      </c>
      <c r="U182">
        <v>4.242182704219967E-2</v>
      </c>
      <c r="V182">
        <v>8.3791883842604456E-3</v>
      </c>
      <c r="W182">
        <v>6.8159999999999998</v>
      </c>
      <c r="X182">
        <v>329.774</v>
      </c>
      <c r="Y182" t="s">
        <v>236</v>
      </c>
      <c r="Z182">
        <v>1</v>
      </c>
      <c r="AA182">
        <v>0</v>
      </c>
      <c r="AB182">
        <v>0</v>
      </c>
      <c r="AC182">
        <v>95</v>
      </c>
      <c r="AD182" t="s">
        <v>239</v>
      </c>
      <c r="AE182" t="s">
        <v>240</v>
      </c>
      <c r="AF182" t="s">
        <v>243</v>
      </c>
      <c r="AH182" t="s">
        <v>253</v>
      </c>
      <c r="AI182" t="s">
        <v>253</v>
      </c>
      <c r="AJ182" t="s">
        <v>307</v>
      </c>
      <c r="AK182" t="s">
        <v>324</v>
      </c>
      <c r="AL182" t="s">
        <v>359</v>
      </c>
      <c r="AM182" t="s">
        <v>375</v>
      </c>
      <c r="AN182">
        <v>0</v>
      </c>
      <c r="AO182">
        <v>1</v>
      </c>
      <c r="AP182">
        <v>0</v>
      </c>
      <c r="AQ182">
        <v>1</v>
      </c>
      <c r="AR182">
        <v>0</v>
      </c>
      <c r="AS182">
        <v>0</v>
      </c>
      <c r="AT182">
        <v>0</v>
      </c>
      <c r="AU182">
        <v>0</v>
      </c>
      <c r="AV182">
        <v>0</v>
      </c>
      <c r="AW182">
        <v>0</v>
      </c>
      <c r="AX182">
        <v>0</v>
      </c>
      <c r="AY182">
        <v>1</v>
      </c>
      <c r="AZ182">
        <v>0</v>
      </c>
      <c r="BA182">
        <v>0</v>
      </c>
      <c r="BB182">
        <v>0</v>
      </c>
      <c r="BC182">
        <v>0</v>
      </c>
    </row>
    <row r="183" spans="1:55" x14ac:dyDescent="0.3">
      <c r="A183">
        <v>53</v>
      </c>
      <c r="B183" t="s">
        <v>72</v>
      </c>
      <c r="C183" t="s">
        <v>125</v>
      </c>
      <c r="D183" t="s">
        <v>130</v>
      </c>
      <c r="E183" t="s">
        <v>138</v>
      </c>
      <c r="F183" t="s">
        <v>145</v>
      </c>
      <c r="G183">
        <v>556</v>
      </c>
      <c r="H183">
        <v>1</v>
      </c>
      <c r="I183" t="s">
        <v>199</v>
      </c>
      <c r="J183" t="s">
        <v>229</v>
      </c>
      <c r="K183">
        <v>0.52200000000000002</v>
      </c>
      <c r="L183">
        <v>1983</v>
      </c>
      <c r="M183">
        <v>1984</v>
      </c>
      <c r="N183">
        <v>25</v>
      </c>
      <c r="O183">
        <v>34</v>
      </c>
      <c r="R183" t="s">
        <v>232</v>
      </c>
      <c r="S183">
        <v>1.6152776490219699E-2</v>
      </c>
      <c r="T183">
        <v>8.4347103739106991E-3</v>
      </c>
      <c r="U183">
        <v>3.0714393455635671E-2</v>
      </c>
      <c r="V183">
        <v>5.724178545819191E-3</v>
      </c>
      <c r="W183">
        <v>8.7119999999999997</v>
      </c>
      <c r="X183">
        <v>539.35</v>
      </c>
      <c r="Y183" t="s">
        <v>236</v>
      </c>
      <c r="Z183">
        <v>1</v>
      </c>
      <c r="AA183">
        <v>0</v>
      </c>
      <c r="AB183">
        <v>0</v>
      </c>
      <c r="AC183">
        <v>95</v>
      </c>
      <c r="AD183" t="s">
        <v>239</v>
      </c>
      <c r="AE183" t="s">
        <v>240</v>
      </c>
      <c r="AF183" t="s">
        <v>243</v>
      </c>
      <c r="AH183" t="s">
        <v>253</v>
      </c>
      <c r="AI183" t="s">
        <v>253</v>
      </c>
      <c r="AJ183" t="s">
        <v>307</v>
      </c>
      <c r="AK183" t="s">
        <v>324</v>
      </c>
      <c r="AL183" t="s">
        <v>359</v>
      </c>
      <c r="AM183" t="s">
        <v>375</v>
      </c>
      <c r="AN183">
        <v>0</v>
      </c>
      <c r="AO183">
        <v>1</v>
      </c>
      <c r="AP183">
        <v>0</v>
      </c>
      <c r="AQ183">
        <v>1</v>
      </c>
      <c r="AR183">
        <v>0</v>
      </c>
      <c r="AS183">
        <v>0</v>
      </c>
      <c r="AT183">
        <v>0</v>
      </c>
      <c r="AU183">
        <v>0</v>
      </c>
      <c r="AV183">
        <v>0</v>
      </c>
      <c r="AW183">
        <v>0</v>
      </c>
      <c r="AX183">
        <v>0</v>
      </c>
      <c r="AY183">
        <v>1</v>
      </c>
      <c r="AZ183">
        <v>0</v>
      </c>
      <c r="BA183">
        <v>0</v>
      </c>
      <c r="BB183">
        <v>0</v>
      </c>
      <c r="BC183">
        <v>0</v>
      </c>
    </row>
    <row r="184" spans="1:55" x14ac:dyDescent="0.3">
      <c r="A184">
        <v>53</v>
      </c>
      <c r="B184" t="s">
        <v>72</v>
      </c>
      <c r="C184" t="s">
        <v>125</v>
      </c>
      <c r="D184" t="s">
        <v>130</v>
      </c>
      <c r="E184" t="s">
        <v>138</v>
      </c>
      <c r="F184" t="s">
        <v>145</v>
      </c>
      <c r="G184">
        <v>556</v>
      </c>
      <c r="H184">
        <v>1</v>
      </c>
      <c r="I184" t="s">
        <v>199</v>
      </c>
      <c r="J184" t="s">
        <v>229</v>
      </c>
      <c r="K184">
        <v>0.52200000000000002</v>
      </c>
      <c r="L184">
        <v>1983</v>
      </c>
      <c r="M184">
        <v>1984</v>
      </c>
      <c r="N184">
        <v>35</v>
      </c>
      <c r="O184">
        <v>44</v>
      </c>
      <c r="R184" t="s">
        <v>232</v>
      </c>
      <c r="S184">
        <v>1.24729261653337E-2</v>
      </c>
      <c r="T184">
        <v>0</v>
      </c>
      <c r="U184">
        <v>2.5202290423488191E-2</v>
      </c>
      <c r="V184">
        <v>6.4946929426061371E-3</v>
      </c>
      <c r="W184">
        <v>4.4400000000000004</v>
      </c>
      <c r="X184">
        <v>355.971</v>
      </c>
      <c r="Y184" t="s">
        <v>236</v>
      </c>
      <c r="Z184">
        <v>1</v>
      </c>
      <c r="AA184">
        <v>0</v>
      </c>
      <c r="AB184">
        <v>0</v>
      </c>
      <c r="AC184">
        <v>95</v>
      </c>
      <c r="AD184" t="s">
        <v>239</v>
      </c>
      <c r="AE184" t="s">
        <v>240</v>
      </c>
      <c r="AF184" t="s">
        <v>243</v>
      </c>
      <c r="AH184" t="s">
        <v>253</v>
      </c>
      <c r="AI184" t="s">
        <v>253</v>
      </c>
      <c r="AJ184" t="s">
        <v>307</v>
      </c>
      <c r="AK184" t="s">
        <v>324</v>
      </c>
      <c r="AL184" t="s">
        <v>359</v>
      </c>
      <c r="AM184" t="s">
        <v>375</v>
      </c>
      <c r="AN184">
        <v>0</v>
      </c>
      <c r="AO184">
        <v>1</v>
      </c>
      <c r="AP184">
        <v>0</v>
      </c>
      <c r="AQ184">
        <v>1</v>
      </c>
      <c r="AR184">
        <v>0</v>
      </c>
      <c r="AS184">
        <v>0</v>
      </c>
      <c r="AT184">
        <v>0</v>
      </c>
      <c r="AU184">
        <v>0</v>
      </c>
      <c r="AV184">
        <v>0</v>
      </c>
      <c r="AW184">
        <v>0</v>
      </c>
      <c r="AX184">
        <v>0</v>
      </c>
      <c r="AY184">
        <v>1</v>
      </c>
      <c r="AZ184">
        <v>0</v>
      </c>
      <c r="BA184">
        <v>0</v>
      </c>
      <c r="BB184">
        <v>0</v>
      </c>
      <c r="BC184">
        <v>0</v>
      </c>
    </row>
    <row r="185" spans="1:55" x14ac:dyDescent="0.3">
      <c r="A185">
        <v>53</v>
      </c>
      <c r="B185" t="s">
        <v>72</v>
      </c>
      <c r="C185" t="s">
        <v>125</v>
      </c>
      <c r="D185" t="s">
        <v>130</v>
      </c>
      <c r="E185" t="s">
        <v>138</v>
      </c>
      <c r="F185" t="s">
        <v>145</v>
      </c>
      <c r="G185">
        <v>556</v>
      </c>
      <c r="H185">
        <v>1</v>
      </c>
      <c r="I185" t="s">
        <v>199</v>
      </c>
      <c r="J185" t="s">
        <v>229</v>
      </c>
      <c r="K185">
        <v>0.52200000000000002</v>
      </c>
      <c r="L185">
        <v>1983</v>
      </c>
      <c r="M185">
        <v>1984</v>
      </c>
      <c r="N185">
        <v>45</v>
      </c>
      <c r="O185">
        <v>55</v>
      </c>
      <c r="R185" t="s">
        <v>232</v>
      </c>
      <c r="S185">
        <v>1.2763330748168E-2</v>
      </c>
      <c r="T185">
        <v>0</v>
      </c>
      <c r="U185">
        <v>2.6554298827111789E-2</v>
      </c>
      <c r="V185">
        <v>7.0363374978954646E-3</v>
      </c>
      <c r="W185">
        <v>4.032</v>
      </c>
      <c r="X185">
        <v>315.90499999999997</v>
      </c>
      <c r="Y185" t="s">
        <v>236</v>
      </c>
      <c r="Z185">
        <v>1</v>
      </c>
      <c r="AA185">
        <v>0</v>
      </c>
      <c r="AB185">
        <v>0</v>
      </c>
      <c r="AC185">
        <v>95</v>
      </c>
      <c r="AD185" t="s">
        <v>239</v>
      </c>
      <c r="AE185" t="s">
        <v>240</v>
      </c>
      <c r="AF185" t="s">
        <v>243</v>
      </c>
      <c r="AH185" t="s">
        <v>253</v>
      </c>
      <c r="AI185" t="s">
        <v>253</v>
      </c>
      <c r="AJ185" t="s">
        <v>307</v>
      </c>
      <c r="AK185" t="s">
        <v>324</v>
      </c>
      <c r="AL185" t="s">
        <v>359</v>
      </c>
      <c r="AM185" t="s">
        <v>375</v>
      </c>
      <c r="AN185">
        <v>0</v>
      </c>
      <c r="AO185">
        <v>1</v>
      </c>
      <c r="AP185">
        <v>0</v>
      </c>
      <c r="AQ185">
        <v>1</v>
      </c>
      <c r="AR185">
        <v>0</v>
      </c>
      <c r="AS185">
        <v>0</v>
      </c>
      <c r="AT185">
        <v>0</v>
      </c>
      <c r="AU185">
        <v>0</v>
      </c>
      <c r="AV185">
        <v>0</v>
      </c>
      <c r="AW185">
        <v>0</v>
      </c>
      <c r="AX185">
        <v>0</v>
      </c>
      <c r="AY185">
        <v>1</v>
      </c>
      <c r="AZ185">
        <v>0</v>
      </c>
      <c r="BA185">
        <v>0</v>
      </c>
      <c r="BB185">
        <v>0</v>
      </c>
      <c r="BC185">
        <v>0</v>
      </c>
    </row>
    <row r="186" spans="1:55" x14ac:dyDescent="0.3">
      <c r="A186">
        <v>53</v>
      </c>
      <c r="B186" t="s">
        <v>72</v>
      </c>
      <c r="C186" t="s">
        <v>125</v>
      </c>
      <c r="D186" t="s">
        <v>130</v>
      </c>
      <c r="E186" t="s">
        <v>138</v>
      </c>
      <c r="F186" t="s">
        <v>145</v>
      </c>
      <c r="G186">
        <v>556</v>
      </c>
      <c r="H186">
        <v>1</v>
      </c>
      <c r="I186" t="s">
        <v>199</v>
      </c>
      <c r="J186" t="s">
        <v>229</v>
      </c>
      <c r="K186">
        <v>0.52200000000000002</v>
      </c>
      <c r="L186">
        <v>1983</v>
      </c>
      <c r="M186">
        <v>1984</v>
      </c>
      <c r="N186">
        <v>19</v>
      </c>
      <c r="O186">
        <v>55</v>
      </c>
      <c r="R186" t="s">
        <v>232</v>
      </c>
      <c r="S186">
        <v>1.0575563420792401E-2</v>
      </c>
      <c r="T186">
        <v>5.2460457493191826E-3</v>
      </c>
      <c r="U186">
        <v>2.1203988261708141E-2</v>
      </c>
      <c r="V186">
        <v>4.0931363194077336E-3</v>
      </c>
      <c r="W186">
        <v>7.4640000000000004</v>
      </c>
      <c r="X186">
        <v>705.77800000000002</v>
      </c>
      <c r="Y186" t="s">
        <v>236</v>
      </c>
      <c r="Z186">
        <v>1</v>
      </c>
      <c r="AA186">
        <v>0</v>
      </c>
      <c r="AB186">
        <v>0</v>
      </c>
      <c r="AC186">
        <v>95</v>
      </c>
      <c r="AD186" t="s">
        <v>239</v>
      </c>
      <c r="AE186" t="s">
        <v>242</v>
      </c>
      <c r="AF186" t="s">
        <v>243</v>
      </c>
      <c r="AH186" t="s">
        <v>253</v>
      </c>
      <c r="AI186" t="s">
        <v>253</v>
      </c>
      <c r="AJ186" t="s">
        <v>307</v>
      </c>
      <c r="AK186" t="s">
        <v>324</v>
      </c>
      <c r="AL186" t="s">
        <v>359</v>
      </c>
      <c r="AM186" t="s">
        <v>375</v>
      </c>
      <c r="AN186">
        <v>0</v>
      </c>
      <c r="AO186">
        <v>1</v>
      </c>
      <c r="AP186">
        <v>0</v>
      </c>
      <c r="AQ186">
        <v>1</v>
      </c>
      <c r="AR186">
        <v>0</v>
      </c>
      <c r="AS186">
        <v>0</v>
      </c>
      <c r="AT186">
        <v>0</v>
      </c>
      <c r="AU186">
        <v>0</v>
      </c>
      <c r="AV186">
        <v>0</v>
      </c>
      <c r="AW186">
        <v>0</v>
      </c>
      <c r="AX186">
        <v>0</v>
      </c>
      <c r="AY186">
        <v>1</v>
      </c>
      <c r="AZ186">
        <v>0</v>
      </c>
      <c r="BA186">
        <v>0</v>
      </c>
      <c r="BB186">
        <v>0</v>
      </c>
      <c r="BC186">
        <v>0</v>
      </c>
    </row>
    <row r="187" spans="1:55" x14ac:dyDescent="0.3">
      <c r="A187">
        <v>53</v>
      </c>
      <c r="B187" t="s">
        <v>72</v>
      </c>
      <c r="C187" t="s">
        <v>125</v>
      </c>
      <c r="D187" t="s">
        <v>130</v>
      </c>
      <c r="E187" t="s">
        <v>138</v>
      </c>
      <c r="F187" t="s">
        <v>145</v>
      </c>
      <c r="G187">
        <v>556</v>
      </c>
      <c r="H187">
        <v>1</v>
      </c>
      <c r="I187" t="s">
        <v>199</v>
      </c>
      <c r="J187" t="s">
        <v>229</v>
      </c>
      <c r="K187">
        <v>0.52200000000000002</v>
      </c>
      <c r="L187">
        <v>1983</v>
      </c>
      <c r="M187">
        <v>1984</v>
      </c>
      <c r="N187">
        <v>19</v>
      </c>
      <c r="O187">
        <v>55</v>
      </c>
      <c r="R187" t="s">
        <v>232</v>
      </c>
      <c r="S187">
        <v>1.9798329067002501E-2</v>
      </c>
      <c r="T187">
        <v>1.2317932493735429E-2</v>
      </c>
      <c r="U187">
        <v>3.1675711172473087E-2</v>
      </c>
      <c r="V187">
        <v>4.9610124420391066E-3</v>
      </c>
      <c r="W187">
        <v>16.536000000000001</v>
      </c>
      <c r="X187">
        <v>835.22199999999998</v>
      </c>
      <c r="Y187" t="s">
        <v>236</v>
      </c>
      <c r="Z187">
        <v>1</v>
      </c>
      <c r="AA187">
        <v>0</v>
      </c>
      <c r="AB187">
        <v>0</v>
      </c>
      <c r="AC187">
        <v>95</v>
      </c>
      <c r="AD187" t="s">
        <v>239</v>
      </c>
      <c r="AE187" t="s">
        <v>241</v>
      </c>
      <c r="AF187" t="s">
        <v>243</v>
      </c>
      <c r="AH187" t="s">
        <v>253</v>
      </c>
      <c r="AI187" t="s">
        <v>253</v>
      </c>
      <c r="AJ187" t="s">
        <v>307</v>
      </c>
      <c r="AK187" t="s">
        <v>324</v>
      </c>
      <c r="AL187" t="s">
        <v>359</v>
      </c>
      <c r="AM187" t="s">
        <v>375</v>
      </c>
      <c r="AN187">
        <v>0</v>
      </c>
      <c r="AO187">
        <v>1</v>
      </c>
      <c r="AP187">
        <v>0</v>
      </c>
      <c r="AQ187">
        <v>1</v>
      </c>
      <c r="AR187">
        <v>0</v>
      </c>
      <c r="AS187">
        <v>0</v>
      </c>
      <c r="AT187">
        <v>0</v>
      </c>
      <c r="AU187">
        <v>0</v>
      </c>
      <c r="AV187">
        <v>0</v>
      </c>
      <c r="AW187">
        <v>0</v>
      </c>
      <c r="AX187">
        <v>0</v>
      </c>
      <c r="AY187">
        <v>1</v>
      </c>
      <c r="AZ187">
        <v>0</v>
      </c>
      <c r="BA187">
        <v>0</v>
      </c>
      <c r="BB187">
        <v>0</v>
      </c>
      <c r="BC187">
        <v>0</v>
      </c>
    </row>
    <row r="188" spans="1:55" x14ac:dyDescent="0.3">
      <c r="A188">
        <v>54</v>
      </c>
      <c r="B188" t="s">
        <v>56</v>
      </c>
      <c r="C188" t="s">
        <v>104</v>
      </c>
      <c r="D188" t="s">
        <v>126</v>
      </c>
      <c r="E188" t="s">
        <v>137</v>
      </c>
      <c r="F188" t="s">
        <v>154</v>
      </c>
      <c r="G188">
        <v>4910</v>
      </c>
      <c r="H188">
        <v>1</v>
      </c>
      <c r="I188" t="s">
        <v>154</v>
      </c>
      <c r="J188" t="s">
        <v>229</v>
      </c>
      <c r="K188">
        <f>1142/2053</f>
        <v>0.5562591329761325</v>
      </c>
      <c r="L188">
        <v>1994</v>
      </c>
      <c r="M188">
        <v>1997</v>
      </c>
      <c r="N188">
        <v>18</v>
      </c>
      <c r="O188">
        <v>65</v>
      </c>
      <c r="R188" t="s">
        <v>232</v>
      </c>
      <c r="S188">
        <v>7.0000000000000001E-3</v>
      </c>
      <c r="T188">
        <v>4.2019053816788427E-3</v>
      </c>
      <c r="U188">
        <v>1.163959697668771E-2</v>
      </c>
      <c r="V188">
        <v>1.90095548858848E-3</v>
      </c>
      <c r="W188">
        <v>12</v>
      </c>
      <c r="X188">
        <v>2053</v>
      </c>
      <c r="Y188" t="s">
        <v>236</v>
      </c>
      <c r="Z188">
        <v>1</v>
      </c>
      <c r="AA188">
        <v>0</v>
      </c>
      <c r="AB188">
        <v>0</v>
      </c>
      <c r="AC188">
        <v>95</v>
      </c>
      <c r="AD188" t="s">
        <v>239</v>
      </c>
      <c r="AE188" t="s">
        <v>241</v>
      </c>
      <c r="AF188" t="s">
        <v>243</v>
      </c>
      <c r="AH188" t="s">
        <v>248</v>
      </c>
      <c r="AI188" t="s">
        <v>258</v>
      </c>
      <c r="AJ188" t="s">
        <v>298</v>
      </c>
      <c r="AK188" t="s">
        <v>325</v>
      </c>
      <c r="AL188" t="s">
        <v>345</v>
      </c>
      <c r="AM188" t="s">
        <v>380</v>
      </c>
      <c r="AN188">
        <v>0</v>
      </c>
      <c r="AO188">
        <v>1</v>
      </c>
      <c r="AP188">
        <v>1</v>
      </c>
      <c r="AQ188">
        <v>0</v>
      </c>
      <c r="AR188">
        <v>0</v>
      </c>
      <c r="AS188">
        <v>0</v>
      </c>
      <c r="AT188">
        <v>0</v>
      </c>
      <c r="AU188">
        <v>0</v>
      </c>
      <c r="AV188">
        <v>0</v>
      </c>
      <c r="AW188">
        <v>0</v>
      </c>
      <c r="AX188">
        <v>0</v>
      </c>
      <c r="AY188">
        <v>0</v>
      </c>
      <c r="AZ188">
        <v>0</v>
      </c>
      <c r="BA188">
        <v>1</v>
      </c>
      <c r="BB188">
        <v>0</v>
      </c>
      <c r="BC188">
        <v>0</v>
      </c>
    </row>
    <row r="189" spans="1:55" x14ac:dyDescent="0.3">
      <c r="A189">
        <v>54</v>
      </c>
      <c r="B189" t="s">
        <v>56</v>
      </c>
      <c r="C189" t="s">
        <v>104</v>
      </c>
      <c r="D189" t="s">
        <v>126</v>
      </c>
      <c r="E189" t="s">
        <v>137</v>
      </c>
      <c r="F189" t="s">
        <v>154</v>
      </c>
      <c r="G189">
        <v>4910</v>
      </c>
      <c r="H189">
        <v>1</v>
      </c>
      <c r="I189" t="s">
        <v>154</v>
      </c>
      <c r="J189" t="s">
        <v>229</v>
      </c>
      <c r="K189">
        <f>1142/2053</f>
        <v>0.5562591329761325</v>
      </c>
      <c r="L189">
        <v>1994</v>
      </c>
      <c r="M189">
        <v>1997</v>
      </c>
      <c r="N189">
        <v>18</v>
      </c>
      <c r="O189">
        <v>65</v>
      </c>
      <c r="R189" t="s">
        <v>232</v>
      </c>
      <c r="S189">
        <v>7.0000000000000001E-3</v>
      </c>
      <c r="T189">
        <v>4.2019053816788427E-3</v>
      </c>
      <c r="U189">
        <v>1.163959697668771E-2</v>
      </c>
      <c r="V189">
        <v>1.90095548858848E-3</v>
      </c>
      <c r="W189">
        <v>14</v>
      </c>
      <c r="X189">
        <v>2053</v>
      </c>
      <c r="Y189" t="s">
        <v>236</v>
      </c>
      <c r="Z189">
        <v>1</v>
      </c>
      <c r="AA189">
        <v>0</v>
      </c>
      <c r="AB189">
        <v>0</v>
      </c>
      <c r="AC189">
        <v>95</v>
      </c>
      <c r="AD189" t="s">
        <v>239</v>
      </c>
      <c r="AE189" t="s">
        <v>241</v>
      </c>
      <c r="AF189" t="s">
        <v>243</v>
      </c>
      <c r="AH189" t="s">
        <v>249</v>
      </c>
      <c r="AI189" t="s">
        <v>253</v>
      </c>
      <c r="AJ189" t="s">
        <v>298</v>
      </c>
      <c r="AK189" t="s">
        <v>325</v>
      </c>
      <c r="AL189" t="s">
        <v>345</v>
      </c>
      <c r="AM189" t="s">
        <v>380</v>
      </c>
      <c r="AN189">
        <v>0</v>
      </c>
      <c r="AO189">
        <v>1</v>
      </c>
      <c r="AP189">
        <v>0</v>
      </c>
      <c r="AQ189">
        <v>1</v>
      </c>
      <c r="AR189">
        <v>0</v>
      </c>
      <c r="AS189">
        <v>0</v>
      </c>
      <c r="AT189">
        <v>0</v>
      </c>
      <c r="AU189">
        <v>0</v>
      </c>
      <c r="AV189">
        <v>0</v>
      </c>
      <c r="AW189">
        <v>0</v>
      </c>
      <c r="AX189">
        <v>0</v>
      </c>
      <c r="AY189">
        <v>0</v>
      </c>
      <c r="AZ189">
        <v>0</v>
      </c>
      <c r="BA189">
        <v>0</v>
      </c>
      <c r="BB189">
        <v>1</v>
      </c>
      <c r="BC189">
        <v>0</v>
      </c>
    </row>
    <row r="190" spans="1:55" x14ac:dyDescent="0.3">
      <c r="A190">
        <v>54</v>
      </c>
      <c r="B190" t="s">
        <v>56</v>
      </c>
      <c r="C190" t="s">
        <v>104</v>
      </c>
      <c r="D190" t="s">
        <v>126</v>
      </c>
      <c r="E190" t="s">
        <v>137</v>
      </c>
      <c r="F190" t="s">
        <v>154</v>
      </c>
      <c r="G190">
        <v>4910</v>
      </c>
      <c r="H190">
        <v>1</v>
      </c>
      <c r="I190" t="s">
        <v>154</v>
      </c>
      <c r="J190" t="s">
        <v>230</v>
      </c>
      <c r="L190">
        <v>1994</v>
      </c>
      <c r="M190">
        <v>1997</v>
      </c>
      <c r="N190">
        <v>18</v>
      </c>
      <c r="O190">
        <v>65</v>
      </c>
      <c r="R190" t="s">
        <v>232</v>
      </c>
      <c r="S190">
        <v>0.13700000000000001</v>
      </c>
      <c r="T190">
        <v>0.11619086009584149</v>
      </c>
      <c r="U190">
        <v>0.16085764527843299</v>
      </c>
      <c r="V190">
        <v>1.1442846445590999E-2</v>
      </c>
      <c r="W190">
        <v>125</v>
      </c>
      <c r="X190">
        <v>911</v>
      </c>
      <c r="Y190" t="s">
        <v>236</v>
      </c>
      <c r="Z190">
        <v>1</v>
      </c>
      <c r="AA190">
        <v>0</v>
      </c>
      <c r="AB190">
        <v>0</v>
      </c>
      <c r="AC190">
        <v>95</v>
      </c>
      <c r="AD190" t="s">
        <v>239</v>
      </c>
      <c r="AE190" t="s">
        <v>241</v>
      </c>
      <c r="AF190" t="s">
        <v>243</v>
      </c>
      <c r="AH190" t="s">
        <v>247</v>
      </c>
      <c r="AI190" t="s">
        <v>262</v>
      </c>
      <c r="AJ190" t="s">
        <v>298</v>
      </c>
      <c r="AK190" t="s">
        <v>7</v>
      </c>
      <c r="AL190" t="s">
        <v>345</v>
      </c>
      <c r="AM190" t="s">
        <v>380</v>
      </c>
      <c r="AN190">
        <v>0</v>
      </c>
      <c r="AO190">
        <v>0</v>
      </c>
      <c r="AP190">
        <v>0</v>
      </c>
      <c r="AQ190">
        <v>0</v>
      </c>
      <c r="AR190">
        <v>0</v>
      </c>
      <c r="AS190">
        <v>0</v>
      </c>
      <c r="AT190">
        <v>0</v>
      </c>
      <c r="AU190">
        <v>0</v>
      </c>
      <c r="AV190">
        <v>0</v>
      </c>
      <c r="AW190">
        <v>0</v>
      </c>
      <c r="AX190">
        <v>0</v>
      </c>
      <c r="AY190">
        <v>0</v>
      </c>
      <c r="AZ190">
        <v>0</v>
      </c>
      <c r="BA190">
        <v>0</v>
      </c>
      <c r="BB190">
        <v>0</v>
      </c>
      <c r="BC190">
        <v>1</v>
      </c>
    </row>
    <row r="191" spans="1:55" x14ac:dyDescent="0.3">
      <c r="A191">
        <v>54</v>
      </c>
      <c r="B191" t="s">
        <v>56</v>
      </c>
      <c r="C191" t="s">
        <v>104</v>
      </c>
      <c r="D191" t="s">
        <v>126</v>
      </c>
      <c r="E191" t="s">
        <v>137</v>
      </c>
      <c r="F191" t="s">
        <v>154</v>
      </c>
      <c r="G191">
        <v>4910</v>
      </c>
      <c r="H191">
        <v>1</v>
      </c>
      <c r="I191" t="s">
        <v>154</v>
      </c>
      <c r="J191" t="s">
        <v>231</v>
      </c>
      <c r="L191">
        <v>1994</v>
      </c>
      <c r="M191">
        <v>1997</v>
      </c>
      <c r="N191">
        <v>18</v>
      </c>
      <c r="O191">
        <v>65</v>
      </c>
      <c r="R191" t="s">
        <v>232</v>
      </c>
      <c r="S191">
        <v>0.126</v>
      </c>
      <c r="T191">
        <v>0.10799857730367481</v>
      </c>
      <c r="U191">
        <v>0.14650910923163049</v>
      </c>
      <c r="V191">
        <v>9.8573427710313098E-3</v>
      </c>
      <c r="W191">
        <v>144</v>
      </c>
      <c r="X191">
        <v>1142</v>
      </c>
      <c r="Y191" t="s">
        <v>236</v>
      </c>
      <c r="Z191">
        <v>1</v>
      </c>
      <c r="AA191">
        <v>0</v>
      </c>
      <c r="AB191">
        <v>0</v>
      </c>
      <c r="AC191">
        <v>95</v>
      </c>
      <c r="AD191" t="s">
        <v>239</v>
      </c>
      <c r="AE191" t="s">
        <v>241</v>
      </c>
      <c r="AF191" t="s">
        <v>243</v>
      </c>
      <c r="AH191" t="s">
        <v>247</v>
      </c>
      <c r="AI191" t="s">
        <v>262</v>
      </c>
      <c r="AJ191" t="s">
        <v>298</v>
      </c>
      <c r="AK191" t="s">
        <v>7</v>
      </c>
      <c r="AL191" t="s">
        <v>345</v>
      </c>
      <c r="AM191" t="s">
        <v>380</v>
      </c>
      <c r="AN191">
        <v>0</v>
      </c>
      <c r="AO191">
        <v>0</v>
      </c>
      <c r="AP191">
        <v>0</v>
      </c>
      <c r="AQ191">
        <v>0</v>
      </c>
      <c r="AR191">
        <v>0</v>
      </c>
      <c r="AS191">
        <v>0</v>
      </c>
      <c r="AT191">
        <v>0</v>
      </c>
      <c r="AU191">
        <v>0</v>
      </c>
      <c r="AV191">
        <v>0</v>
      </c>
      <c r="AW191">
        <v>0</v>
      </c>
      <c r="AX191">
        <v>0</v>
      </c>
      <c r="AY191">
        <v>0</v>
      </c>
      <c r="AZ191">
        <v>0</v>
      </c>
      <c r="BA191">
        <v>0</v>
      </c>
      <c r="BB191">
        <v>0</v>
      </c>
      <c r="BC191">
        <v>1</v>
      </c>
    </row>
    <row r="192" spans="1:55" x14ac:dyDescent="0.3">
      <c r="A192">
        <v>55</v>
      </c>
      <c r="B192" t="s">
        <v>398</v>
      </c>
      <c r="C192">
        <v>4</v>
      </c>
      <c r="D192">
        <v>1</v>
      </c>
      <c r="E192" t="s">
        <v>138</v>
      </c>
      <c r="F192" t="s">
        <v>154</v>
      </c>
      <c r="G192">
        <v>4910</v>
      </c>
      <c r="H192">
        <v>1</v>
      </c>
      <c r="I192" t="s">
        <v>399</v>
      </c>
      <c r="J192" t="s">
        <v>229</v>
      </c>
      <c r="L192">
        <v>1982</v>
      </c>
      <c r="M192">
        <v>1988</v>
      </c>
      <c r="N192">
        <v>17</v>
      </c>
      <c r="O192">
        <v>53</v>
      </c>
      <c r="R192" t="s">
        <v>395</v>
      </c>
      <c r="S192">
        <v>0.79859400000000003</v>
      </c>
      <c r="T192">
        <v>0.67838396366540199</v>
      </c>
      <c r="U192">
        <v>0.88170799827275004</v>
      </c>
      <c r="V192">
        <v>5.5304741226284412E-2</v>
      </c>
      <c r="W192">
        <v>33</v>
      </c>
      <c r="X192">
        <v>58</v>
      </c>
      <c r="Y192" t="s">
        <v>237</v>
      </c>
      <c r="Z192">
        <v>1</v>
      </c>
      <c r="AA192">
        <v>0</v>
      </c>
      <c r="AB192">
        <v>1</v>
      </c>
      <c r="AC192">
        <v>95</v>
      </c>
      <c r="AD192" t="s">
        <v>239</v>
      </c>
      <c r="AE192" t="s">
        <v>240</v>
      </c>
      <c r="AF192" t="s">
        <v>246</v>
      </c>
      <c r="AH192" t="s">
        <v>261</v>
      </c>
      <c r="AI192" t="s">
        <v>262</v>
      </c>
      <c r="AJ192" t="s">
        <v>400</v>
      </c>
      <c r="AK192" t="s">
        <v>323</v>
      </c>
      <c r="AL192" t="s">
        <v>401</v>
      </c>
      <c r="AM192" t="s">
        <v>402</v>
      </c>
      <c r="AN192">
        <v>0</v>
      </c>
      <c r="AO192">
        <v>0</v>
      </c>
      <c r="AP192">
        <v>0</v>
      </c>
      <c r="AQ192">
        <v>0</v>
      </c>
      <c r="AR192">
        <v>0</v>
      </c>
      <c r="AS192">
        <v>1</v>
      </c>
      <c r="AT192">
        <v>0</v>
      </c>
      <c r="AU192">
        <v>0</v>
      </c>
      <c r="AV192">
        <v>0</v>
      </c>
      <c r="AW192">
        <v>0</v>
      </c>
      <c r="AX192">
        <v>0</v>
      </c>
      <c r="AY192">
        <v>0</v>
      </c>
      <c r="AZ192">
        <v>0</v>
      </c>
      <c r="BA192">
        <v>0</v>
      </c>
      <c r="BB192">
        <v>0</v>
      </c>
      <c r="BC192">
        <v>0</v>
      </c>
    </row>
    <row r="193" spans="1:55" x14ac:dyDescent="0.3">
      <c r="A193">
        <v>56</v>
      </c>
      <c r="B193" t="s">
        <v>77</v>
      </c>
      <c r="C193" t="s">
        <v>104</v>
      </c>
      <c r="D193" t="s">
        <v>126</v>
      </c>
      <c r="E193" t="s">
        <v>138</v>
      </c>
      <c r="F193" t="s">
        <v>147</v>
      </c>
      <c r="G193">
        <v>98</v>
      </c>
      <c r="H193">
        <v>1</v>
      </c>
      <c r="I193" t="s">
        <v>207</v>
      </c>
      <c r="J193" t="s">
        <v>229</v>
      </c>
      <c r="L193">
        <v>1992</v>
      </c>
      <c r="M193">
        <v>1999</v>
      </c>
      <c r="N193">
        <v>15</v>
      </c>
      <c r="O193">
        <v>99</v>
      </c>
      <c r="P193">
        <v>39.9</v>
      </c>
      <c r="R193" t="s">
        <v>232</v>
      </c>
      <c r="S193">
        <v>0.01</v>
      </c>
      <c r="T193">
        <v>4.1201080463798383E-3</v>
      </c>
      <c r="U193">
        <v>1.5879891953620159E-2</v>
      </c>
      <c r="V193">
        <v>3.0000000000000001E-3</v>
      </c>
      <c r="Y193" t="s">
        <v>236</v>
      </c>
      <c r="Z193">
        <v>1</v>
      </c>
      <c r="AA193">
        <v>0</v>
      </c>
      <c r="AB193">
        <v>0</v>
      </c>
      <c r="AC193">
        <v>95</v>
      </c>
      <c r="AD193" t="s">
        <v>239</v>
      </c>
      <c r="AE193" t="s">
        <v>240</v>
      </c>
      <c r="AF193" t="s">
        <v>243</v>
      </c>
      <c r="AG193">
        <v>0.90300000000000002</v>
      </c>
      <c r="AH193" t="s">
        <v>272</v>
      </c>
      <c r="AI193" t="s">
        <v>258</v>
      </c>
      <c r="AJ193" t="s">
        <v>305</v>
      </c>
      <c r="AK193" t="s">
        <v>323</v>
      </c>
      <c r="AL193" t="s">
        <v>340</v>
      </c>
      <c r="AM193" t="s">
        <v>375</v>
      </c>
      <c r="AN193">
        <v>0</v>
      </c>
      <c r="AO193">
        <v>1</v>
      </c>
      <c r="AP193">
        <v>1</v>
      </c>
      <c r="AQ193">
        <v>0</v>
      </c>
      <c r="AR193">
        <v>0</v>
      </c>
      <c r="AS193">
        <v>0</v>
      </c>
      <c r="AT193">
        <v>0</v>
      </c>
      <c r="AU193">
        <v>0</v>
      </c>
      <c r="AV193">
        <v>0</v>
      </c>
      <c r="AW193">
        <v>0</v>
      </c>
      <c r="AX193">
        <v>1</v>
      </c>
      <c r="AY193">
        <v>0</v>
      </c>
      <c r="AZ193">
        <v>0</v>
      </c>
      <c r="BA193">
        <v>0</v>
      </c>
      <c r="BB193">
        <v>0</v>
      </c>
      <c r="BC193">
        <v>0</v>
      </c>
    </row>
    <row r="194" spans="1:55" x14ac:dyDescent="0.3">
      <c r="A194">
        <v>57</v>
      </c>
      <c r="B194" t="s">
        <v>98</v>
      </c>
      <c r="C194" t="s">
        <v>104</v>
      </c>
      <c r="D194" t="s">
        <v>104</v>
      </c>
      <c r="E194" t="s">
        <v>140</v>
      </c>
      <c r="F194" t="s">
        <v>168</v>
      </c>
      <c r="G194">
        <v>85</v>
      </c>
      <c r="H194">
        <v>0</v>
      </c>
      <c r="I194" t="s">
        <v>220</v>
      </c>
      <c r="J194" t="s">
        <v>229</v>
      </c>
      <c r="L194">
        <v>1978</v>
      </c>
      <c r="M194">
        <v>1983</v>
      </c>
      <c r="N194">
        <v>20</v>
      </c>
      <c r="O194">
        <v>39</v>
      </c>
      <c r="R194" t="s">
        <v>233</v>
      </c>
      <c r="S194">
        <v>6.89</v>
      </c>
      <c r="T194">
        <v>3.7070408834102482</v>
      </c>
      <c r="U194">
        <v>10.07295911658975</v>
      </c>
      <c r="V194">
        <v>1.6239885741250999</v>
      </c>
      <c r="Y194" t="s">
        <v>237</v>
      </c>
      <c r="Z194">
        <v>1</v>
      </c>
      <c r="AA194">
        <v>0</v>
      </c>
      <c r="AB194">
        <v>0</v>
      </c>
      <c r="AC194">
        <v>95</v>
      </c>
      <c r="AD194" t="s">
        <v>238</v>
      </c>
      <c r="AE194" t="s">
        <v>240</v>
      </c>
      <c r="AF194" t="s">
        <v>246</v>
      </c>
      <c r="AH194" t="s">
        <v>262</v>
      </c>
      <c r="AI194" t="s">
        <v>262</v>
      </c>
      <c r="AJ194" t="s">
        <v>317</v>
      </c>
      <c r="AK194" t="s">
        <v>324</v>
      </c>
      <c r="AL194" t="s">
        <v>371</v>
      </c>
      <c r="AM194" t="s">
        <v>333</v>
      </c>
      <c r="AN194">
        <v>1</v>
      </c>
      <c r="AO194">
        <v>0</v>
      </c>
      <c r="AP194">
        <v>0</v>
      </c>
      <c r="AQ194">
        <v>0</v>
      </c>
      <c r="AR194">
        <v>1</v>
      </c>
      <c r="AS194">
        <v>0</v>
      </c>
      <c r="AT194">
        <v>0</v>
      </c>
      <c r="AU194">
        <v>0</v>
      </c>
      <c r="AV194">
        <v>0</v>
      </c>
      <c r="AW194">
        <v>0</v>
      </c>
      <c r="AX194">
        <v>0</v>
      </c>
      <c r="AY194">
        <v>0</v>
      </c>
      <c r="AZ194">
        <v>0</v>
      </c>
      <c r="BA194">
        <v>0</v>
      </c>
      <c r="BB194">
        <v>0</v>
      </c>
      <c r="BC194">
        <v>0</v>
      </c>
    </row>
    <row r="195" spans="1:55" ht="15.6" customHeight="1" x14ac:dyDescent="0.3">
      <c r="A195">
        <v>57</v>
      </c>
      <c r="B195" t="s">
        <v>98</v>
      </c>
      <c r="C195" t="s">
        <v>104</v>
      </c>
      <c r="D195" t="s">
        <v>104</v>
      </c>
      <c r="E195" t="s">
        <v>140</v>
      </c>
      <c r="F195" t="s">
        <v>168</v>
      </c>
      <c r="G195">
        <v>85</v>
      </c>
      <c r="H195">
        <v>0</v>
      </c>
      <c r="I195" t="s">
        <v>220</v>
      </c>
      <c r="J195" t="s">
        <v>229</v>
      </c>
      <c r="L195">
        <v>1978</v>
      </c>
      <c r="M195">
        <v>1983</v>
      </c>
      <c r="N195">
        <v>40</v>
      </c>
      <c r="O195">
        <v>59</v>
      </c>
      <c r="R195" t="s">
        <v>233</v>
      </c>
      <c r="S195">
        <v>2.2000000000000002</v>
      </c>
      <c r="T195">
        <v>0.83645092892996376</v>
      </c>
      <c r="U195">
        <v>3.563549071070037</v>
      </c>
      <c r="V195">
        <v>0.69570108523704399</v>
      </c>
      <c r="Y195" t="s">
        <v>237</v>
      </c>
      <c r="Z195">
        <v>1</v>
      </c>
      <c r="AA195">
        <v>0</v>
      </c>
      <c r="AB195">
        <v>0</v>
      </c>
      <c r="AC195">
        <v>95</v>
      </c>
      <c r="AD195" t="s">
        <v>238</v>
      </c>
      <c r="AE195" t="s">
        <v>240</v>
      </c>
      <c r="AF195" t="s">
        <v>246</v>
      </c>
      <c r="AH195" t="s">
        <v>262</v>
      </c>
      <c r="AI195" t="s">
        <v>262</v>
      </c>
      <c r="AJ195" t="s">
        <v>317</v>
      </c>
      <c r="AK195" t="s">
        <v>324</v>
      </c>
      <c r="AL195" t="s">
        <v>371</v>
      </c>
      <c r="AM195" t="s">
        <v>333</v>
      </c>
      <c r="AN195">
        <v>1</v>
      </c>
      <c r="AO195">
        <v>0</v>
      </c>
      <c r="AP195">
        <v>0</v>
      </c>
      <c r="AQ195">
        <v>0</v>
      </c>
      <c r="AR195">
        <v>1</v>
      </c>
      <c r="AS195">
        <v>0</v>
      </c>
      <c r="AT195">
        <v>0</v>
      </c>
      <c r="AU195">
        <v>0</v>
      </c>
      <c r="AV195">
        <v>0</v>
      </c>
      <c r="AW195">
        <v>0</v>
      </c>
      <c r="AX195">
        <v>0</v>
      </c>
      <c r="AY195">
        <v>0</v>
      </c>
      <c r="AZ195">
        <v>0</v>
      </c>
      <c r="BA195">
        <v>0</v>
      </c>
      <c r="BB195">
        <v>0</v>
      </c>
      <c r="BC195">
        <v>0</v>
      </c>
    </row>
    <row r="196" spans="1:55" x14ac:dyDescent="0.3">
      <c r="A196">
        <v>57</v>
      </c>
      <c r="B196" t="s">
        <v>98</v>
      </c>
      <c r="C196" t="s">
        <v>104</v>
      </c>
      <c r="D196" t="s">
        <v>104</v>
      </c>
      <c r="E196" t="s">
        <v>140</v>
      </c>
      <c r="F196" t="s">
        <v>168</v>
      </c>
      <c r="G196">
        <v>85</v>
      </c>
      <c r="H196">
        <v>0</v>
      </c>
      <c r="I196" t="s">
        <v>220</v>
      </c>
      <c r="J196" t="s">
        <v>229</v>
      </c>
      <c r="L196">
        <v>1978</v>
      </c>
      <c r="M196">
        <v>1983</v>
      </c>
      <c r="N196">
        <v>60</v>
      </c>
      <c r="O196">
        <v>69</v>
      </c>
      <c r="R196" t="s">
        <v>233</v>
      </c>
      <c r="S196">
        <v>0.63</v>
      </c>
      <c r="T196">
        <v>0</v>
      </c>
      <c r="U196">
        <v>1.5031194093402971</v>
      </c>
      <c r="V196">
        <v>0.44547727214752503</v>
      </c>
      <c r="Y196" t="s">
        <v>237</v>
      </c>
      <c r="Z196">
        <v>1</v>
      </c>
      <c r="AA196">
        <v>0</v>
      </c>
      <c r="AB196">
        <v>0</v>
      </c>
      <c r="AC196">
        <v>95</v>
      </c>
      <c r="AD196" t="s">
        <v>238</v>
      </c>
      <c r="AE196" t="s">
        <v>240</v>
      </c>
      <c r="AF196" t="s">
        <v>246</v>
      </c>
      <c r="AH196" t="s">
        <v>262</v>
      </c>
      <c r="AI196" t="s">
        <v>262</v>
      </c>
      <c r="AJ196" t="s">
        <v>317</v>
      </c>
      <c r="AK196" t="s">
        <v>324</v>
      </c>
      <c r="AL196" t="s">
        <v>371</v>
      </c>
      <c r="AM196" t="s">
        <v>333</v>
      </c>
      <c r="AN196">
        <v>1</v>
      </c>
      <c r="AO196">
        <v>0</v>
      </c>
      <c r="AP196">
        <v>0</v>
      </c>
      <c r="AQ196">
        <v>0</v>
      </c>
      <c r="AR196">
        <v>1</v>
      </c>
      <c r="AS196">
        <v>0</v>
      </c>
      <c r="AT196">
        <v>0</v>
      </c>
      <c r="AU196">
        <v>0</v>
      </c>
      <c r="AV196">
        <v>0</v>
      </c>
      <c r="AW196">
        <v>0</v>
      </c>
      <c r="AX196">
        <v>0</v>
      </c>
      <c r="AY196">
        <v>0</v>
      </c>
      <c r="AZ196">
        <v>0</v>
      </c>
      <c r="BA196">
        <v>0</v>
      </c>
      <c r="BB196">
        <v>0</v>
      </c>
      <c r="BC196">
        <v>0</v>
      </c>
    </row>
    <row r="197" spans="1:55" x14ac:dyDescent="0.3">
      <c r="A197">
        <v>57</v>
      </c>
      <c r="B197" t="s">
        <v>98</v>
      </c>
      <c r="C197" t="s">
        <v>104</v>
      </c>
      <c r="D197" t="s">
        <v>104</v>
      </c>
      <c r="E197" t="s">
        <v>140</v>
      </c>
      <c r="F197" t="s">
        <v>168</v>
      </c>
      <c r="G197">
        <v>85</v>
      </c>
      <c r="H197">
        <v>0</v>
      </c>
      <c r="I197" t="s">
        <v>220</v>
      </c>
      <c r="J197" t="s">
        <v>229</v>
      </c>
      <c r="L197">
        <v>1978</v>
      </c>
      <c r="M197">
        <v>1983</v>
      </c>
      <c r="N197">
        <v>70</v>
      </c>
      <c r="O197">
        <v>99</v>
      </c>
      <c r="R197" t="s">
        <v>233</v>
      </c>
      <c r="S197">
        <v>1.1100000000000001</v>
      </c>
      <c r="T197">
        <v>0</v>
      </c>
      <c r="U197">
        <v>2.6483532450281428</v>
      </c>
      <c r="V197">
        <v>0.78488852711706802</v>
      </c>
      <c r="Y197" t="s">
        <v>237</v>
      </c>
      <c r="Z197">
        <v>1</v>
      </c>
      <c r="AA197">
        <v>0</v>
      </c>
      <c r="AB197">
        <v>0</v>
      </c>
      <c r="AC197">
        <v>95</v>
      </c>
      <c r="AD197" t="s">
        <v>238</v>
      </c>
      <c r="AE197" t="s">
        <v>240</v>
      </c>
      <c r="AF197" t="s">
        <v>246</v>
      </c>
      <c r="AH197" t="s">
        <v>262</v>
      </c>
      <c r="AI197" t="s">
        <v>262</v>
      </c>
      <c r="AJ197" t="s">
        <v>317</v>
      </c>
      <c r="AK197" t="s">
        <v>324</v>
      </c>
      <c r="AL197" t="s">
        <v>371</v>
      </c>
      <c r="AM197" t="s">
        <v>333</v>
      </c>
      <c r="AN197">
        <v>1</v>
      </c>
      <c r="AO197">
        <v>0</v>
      </c>
      <c r="AP197">
        <v>0</v>
      </c>
      <c r="AQ197">
        <v>0</v>
      </c>
      <c r="AR197">
        <v>1</v>
      </c>
      <c r="AS197">
        <v>0</v>
      </c>
      <c r="AT197">
        <v>0</v>
      </c>
      <c r="AU197">
        <v>0</v>
      </c>
      <c r="AV197">
        <v>0</v>
      </c>
      <c r="AW197">
        <v>0</v>
      </c>
      <c r="AX197">
        <v>0</v>
      </c>
      <c r="AY197">
        <v>0</v>
      </c>
      <c r="AZ197">
        <v>0</v>
      </c>
      <c r="BA197">
        <v>0</v>
      </c>
      <c r="BB197">
        <v>0</v>
      </c>
      <c r="BC19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Jamileh Shadid</dc:creator>
  <cp:lastModifiedBy>Jamileh Shadid</cp:lastModifiedBy>
  <dcterms:created xsi:type="dcterms:W3CDTF">2025-03-06T08:30:15Z</dcterms:created>
  <dcterms:modified xsi:type="dcterms:W3CDTF">2025-10-03T00:35:40Z</dcterms:modified>
</cp:coreProperties>
</file>