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ns\Dropbox\QCMHR\GBD\Shared GBD folder\Admin\Placement\Viktoria &amp; Emma_2024\tasks\2. Somatoform disorders metareview\git\"/>
    </mc:Choice>
  </mc:AlternateContent>
  <xr:revisionPtr revIDLastSave="0" documentId="13_ncr:1_{B72E0FD3-CDB7-48C0-841B-99B03FE37FFA}" xr6:coauthVersionLast="47" xr6:coauthVersionMax="47" xr10:uidLastSave="{00000000-0000-0000-0000-000000000000}"/>
  <bookViews>
    <workbookView xWindow="-120" yWindow="-120" windowWidth="29040" windowHeight="15720" xr2:uid="{03D89AFF-8ADC-45C0-AAE5-0A706909EB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E3" i="1"/>
  <c r="E2" i="1"/>
  <c r="E4" i="1" l="1"/>
  <c r="C4" i="1" s="1"/>
  <c r="I8" i="1" s="1"/>
  <c r="H8" i="1"/>
  <c r="D4" i="1" l="1"/>
  <c r="J8" i="1" s="1"/>
</calcChain>
</file>

<file path=xl/sharedStrings.xml><?xml version="1.0" encoding="utf-8"?>
<sst xmlns="http://schemas.openxmlformats.org/spreadsheetml/2006/main" count="19" uniqueCount="15">
  <si>
    <t>Estimate</t>
  </si>
  <si>
    <t>Lower CI</t>
  </si>
  <si>
    <t>Upper CI</t>
  </si>
  <si>
    <t>SE</t>
  </si>
  <si>
    <t>Prevalence</t>
  </si>
  <si>
    <t>Disability weight</t>
  </si>
  <si>
    <t>YLDs</t>
  </si>
  <si>
    <t>YLDs per 100,000 persons</t>
  </si>
  <si>
    <t>DW: 0.144 (0.116-0.174)</t>
  </si>
  <si>
    <t>Sex</t>
  </si>
  <si>
    <t>Lower</t>
  </si>
  <si>
    <t>Upper</t>
  </si>
  <si>
    <t>Both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</si>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</sst>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Times New Roman"/>
      <family val="1"/>
      <charset val="1"/>
    </font>
    <font>
      <sz val="11"/>
      <color rgb="FFFF0000"/>
      <name val="Calibri"/>
      <family val="2"/>
      <scheme val="minor"/>
    </font>
    <font>
      <sz val="8"/>
      <color rgb="FFFF0000"/>
      <name val="Times New Roman"/>
      <family val="1"/>
      <charset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165" fontId="1" fillId="2" borderId="7" xfId="0" applyNumberFormat="1" applyFont="1" applyFill="1" applyBorder="1"/>
    <xf numFmtId="165" fontId="1" fillId="2" borderId="8" xfId="0" applyNumberFormat="1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3" borderId="4" xfId="0" applyFont="1" applyFill="1" applyBorder="1"/>
    <xf numFmtId="164" fontId="1" fillId="3" borderId="0" xfId="0" applyNumberFormat="1" applyFont="1" applyFill="1"/>
    <xf numFmtId="164" fontId="1" fillId="3" borderId="5" xfId="0" applyNumberFormat="1" applyFont="1" applyFill="1" applyBorder="1"/>
    <xf numFmtId="0" fontId="2" fillId="4" borderId="4" xfId="0" applyFont="1" applyFill="1" applyBorder="1"/>
    <xf numFmtId="164" fontId="1" fillId="4" borderId="0" xfId="0" applyNumberFormat="1" applyFont="1" applyFill="1"/>
    <xf numFmtId="164" fontId="1" fillId="4" borderId="5" xfId="0" applyNumberFormat="1" applyFont="1" applyFill="1" applyBorder="1"/>
    <xf numFmtId="0" fontId="2" fillId="2" borderId="6" xfId="0" applyFon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7</xdr:row>
      <xdr:rowOff>19049</xdr:rowOff>
    </xdr:from>
    <xdr:to>
      <xdr:col>4</xdr:col>
      <xdr:colOff>363794</xdr:colOff>
      <xdr:row>9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B7796-A146-40D7-B77B-28303B81F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38299"/>
          <a:ext cx="3697544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1392-C560-4D34-94E9-BEB422237A48}">
  <dimension ref="A1:N28"/>
  <sheetViews>
    <sheetView tabSelected="1" workbookViewId="0">
      <selection activeCell="D16" sqref="D16"/>
    </sheetView>
  </sheetViews>
  <sheetFormatPr defaultRowHeight="14.4" x14ac:dyDescent="0.3"/>
  <cols>
    <col min="1" max="1" width="22" bestFit="1" customWidth="1"/>
    <col min="2" max="2" width="11.33203125" bestFit="1" customWidth="1"/>
    <col min="3" max="4" width="11" bestFit="1" customWidth="1"/>
    <col min="5" max="5" width="9.109375" bestFit="1" customWidth="1"/>
    <col min="8" max="8" width="10.44140625" customWidth="1"/>
    <col min="9" max="10" width="11" bestFit="1" customWidth="1"/>
  </cols>
  <sheetData>
    <row r="1" spans="1:10" ht="18" x14ac:dyDescent="0.35">
      <c r="A1" s="10"/>
      <c r="B1" s="11" t="s">
        <v>0</v>
      </c>
      <c r="C1" s="11" t="s">
        <v>1</v>
      </c>
      <c r="D1" s="11" t="s">
        <v>2</v>
      </c>
      <c r="E1" s="12" t="s">
        <v>3</v>
      </c>
    </row>
    <row r="2" spans="1:10" ht="18" x14ac:dyDescent="0.35">
      <c r="A2" s="13" t="s">
        <v>4</v>
      </c>
      <c r="B2" s="14">
        <v>7.6999999999999999E-2</v>
      </c>
      <c r="C2" s="14">
        <v>5.0999999999999997E-2</v>
      </c>
      <c r="D2" s="14">
        <v>0.115</v>
      </c>
      <c r="E2" s="15">
        <f>(D2-C2)/3.92</f>
        <v>1.6326530612244899E-2</v>
      </c>
    </row>
    <row r="3" spans="1:10" ht="18" x14ac:dyDescent="0.35">
      <c r="A3" s="16" t="s">
        <v>5</v>
      </c>
      <c r="B3" s="17">
        <v>0.14399999999999999</v>
      </c>
      <c r="C3" s="17">
        <v>0.11600000000000001</v>
      </c>
      <c r="D3" s="17">
        <v>0.17399999999999999</v>
      </c>
      <c r="E3" s="18">
        <f>(D3-C3)/3.92</f>
        <v>1.4795918367346934E-2</v>
      </c>
    </row>
    <row r="4" spans="1:10" ht="18" x14ac:dyDescent="0.35">
      <c r="A4" s="19" t="s">
        <v>6</v>
      </c>
      <c r="B4" s="20">
        <f>B3*B2</f>
        <v>1.1087999999999999E-2</v>
      </c>
      <c r="C4" s="20">
        <f>B4-E4*1.96</f>
        <v>5.9456147303861805E-3</v>
      </c>
      <c r="D4" s="20">
        <f>B4+E4*1.96</f>
        <v>1.6230385269613817E-2</v>
      </c>
      <c r="E4" s="21">
        <f>SQRT((E2^2)*(E3^2) + (E2^2)*(B3^2)+(E3^2)*(B2^2))</f>
        <v>2.6236659538846014E-3</v>
      </c>
    </row>
    <row r="6" spans="1:10" ht="18" x14ac:dyDescent="0.35">
      <c r="H6" s="1" t="s">
        <v>7</v>
      </c>
      <c r="I6" s="2"/>
      <c r="J6" s="3"/>
    </row>
    <row r="7" spans="1:10" ht="18" x14ac:dyDescent="0.35">
      <c r="H7" s="4" t="s">
        <v>0</v>
      </c>
      <c r="I7" s="5" t="s">
        <v>1</v>
      </c>
      <c r="J7" s="6" t="s">
        <v>2</v>
      </c>
    </row>
    <row r="8" spans="1:10" ht="18" x14ac:dyDescent="0.35">
      <c r="H8" s="7">
        <f>B4*100000</f>
        <v>1108.8</v>
      </c>
      <c r="I8" s="8">
        <f>C4*100000</f>
        <v>594.56147303861803</v>
      </c>
      <c r="J8" s="9">
        <f>D4*100000</f>
        <v>1623.0385269613816</v>
      </c>
    </row>
    <row r="14" spans="1:10" x14ac:dyDescent="0.3">
      <c r="I14" s="22"/>
    </row>
    <row r="15" spans="1:10" x14ac:dyDescent="0.3">
      <c r="D15" s="23"/>
      <c r="E15" s="23"/>
      <c r="F15" s="23"/>
      <c r="G15" s="23"/>
      <c r="H15" s="23"/>
      <c r="I15" s="24"/>
    </row>
    <row r="16" spans="1:10" x14ac:dyDescent="0.3">
      <c r="A16" t="s">
        <v>8</v>
      </c>
    </row>
    <row r="25" spans="1:14" x14ac:dyDescent="0.3">
      <c r="A25" s="25"/>
      <c r="D25" t="s">
        <v>9</v>
      </c>
      <c r="E25" t="s">
        <v>6</v>
      </c>
      <c r="F25" t="s">
        <v>10</v>
      </c>
      <c r="G25" t="s">
        <v>11</v>
      </c>
      <c r="N25" s="25"/>
    </row>
    <row r="26" spans="1:14" x14ac:dyDescent="0.3">
      <c r="D26" t="s">
        <v>12</v>
      </c>
      <c r="E26">
        <v>662.4</v>
      </c>
      <c r="F26">
        <v>350.2</v>
      </c>
      <c r="G26">
        <v>974.6</v>
      </c>
    </row>
    <row r="27" spans="1:14" x14ac:dyDescent="0.3">
      <c r="D27" t="s">
        <v>13</v>
      </c>
      <c r="E27">
        <v>403.2</v>
      </c>
      <c r="F27">
        <v>204.9</v>
      </c>
      <c r="G27">
        <v>601.5</v>
      </c>
    </row>
    <row r="28" spans="1:14" x14ac:dyDescent="0.3">
      <c r="D28" t="s">
        <v>14</v>
      </c>
      <c r="E28">
        <v>1108.8</v>
      </c>
      <c r="F28">
        <v>594.6</v>
      </c>
      <c r="G28">
        <v>1623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damians@uw.edu</dc:creator>
  <cp:keywords/>
  <dc:description/>
  <cp:lastModifiedBy>Damian Santomauro</cp:lastModifiedBy>
  <cp:revision/>
  <dcterms:created xsi:type="dcterms:W3CDTF">2024-04-25T00:31:27Z</dcterms:created>
  <dcterms:modified xsi:type="dcterms:W3CDTF">2025-10-22T10:27:33Z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2025-10-22T10:27:33Z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ce5e5b5f-ed9e-40b4-bb01-fc91357e329c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